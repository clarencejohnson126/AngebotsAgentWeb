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rola.Osterloh\Desktop\KLK\"/>
    </mc:Choice>
  </mc:AlternateContent>
  <bookViews>
    <workbookView xWindow="1414" yWindow="1440" windowWidth="7776" windowHeight="4359"/>
  </bookViews>
  <sheets>
    <sheet name="Tabelle1" sheetId="3" r:id="rId1"/>
    <sheet name="Tabelle2" sheetId="4" r:id="rId2"/>
  </sheets>
  <definedNames>
    <definedName name="_xlnm.Print_Area" localSheetId="0">Tabelle1!$A$1:$F$97</definedName>
    <definedName name="_xlnm.Print_Titles" localSheetId="0">Tabelle1!$1:$4</definedName>
  </definedNames>
  <calcPr calcId="152511"/>
</workbook>
</file>

<file path=xl/calcChain.xml><?xml version="1.0" encoding="utf-8"?>
<calcChain xmlns="http://schemas.openxmlformats.org/spreadsheetml/2006/main">
  <c r="C36" i="3" l="1"/>
  <c r="C25" i="3"/>
  <c r="F49" i="3"/>
  <c r="F39" i="3"/>
  <c r="F28" i="3"/>
  <c r="F12" i="3"/>
  <c r="F45" i="3" l="1"/>
  <c r="F43" i="3"/>
  <c r="F41" i="3"/>
  <c r="F23" i="3"/>
  <c r="F20" i="3"/>
  <c r="F84" i="3"/>
  <c r="F64" i="3"/>
  <c r="F62" i="3"/>
  <c r="F60" i="3"/>
  <c r="F54" i="3"/>
  <c r="F53" i="3"/>
  <c r="F52" i="3"/>
  <c r="F46" i="3"/>
  <c r="F35" i="3"/>
  <c r="F34" i="3"/>
  <c r="F33" i="3"/>
  <c r="F32" i="3"/>
  <c r="F31" i="3"/>
  <c r="F30" i="3"/>
  <c r="F29" i="3"/>
  <c r="F24" i="3"/>
  <c r="F21" i="3"/>
  <c r="F18" i="3"/>
  <c r="F17" i="3"/>
  <c r="F16" i="3"/>
  <c r="F15" i="3"/>
  <c r="F14" i="3"/>
  <c r="F13" i="3"/>
  <c r="F55" i="3" l="1"/>
  <c r="F90" i="3" s="1"/>
  <c r="F37" i="3"/>
  <c r="F88" i="3" s="1"/>
  <c r="F77" i="3"/>
  <c r="F91" i="3" s="1"/>
  <c r="F47" i="3"/>
  <c r="F89" i="3" s="1"/>
  <c r="F26" i="3"/>
  <c r="F87" i="3" s="1"/>
  <c r="F94" i="3" l="1"/>
  <c r="F95" i="3" s="1"/>
  <c r="F96" i="3" s="1"/>
  <c r="B87" i="3" l="1"/>
  <c r="B88" i="3"/>
  <c r="B89" i="3"/>
  <c r="B90" i="3"/>
  <c r="B91" i="3"/>
  <c r="B92" i="3"/>
  <c r="A92" i="3"/>
  <c r="A91" i="3"/>
  <c r="A90" i="3"/>
  <c r="A89" i="3"/>
  <c r="A88" i="3"/>
  <c r="A87" i="3"/>
</calcChain>
</file>

<file path=xl/sharedStrings.xml><?xml version="1.0" encoding="utf-8"?>
<sst xmlns="http://schemas.openxmlformats.org/spreadsheetml/2006/main" count="242" uniqueCount="159">
  <si>
    <t>Bauvorhaben:</t>
  </si>
  <si>
    <t>Gewerk:</t>
  </si>
  <si>
    <t>Bieter:</t>
  </si>
  <si>
    <t>Tel:</t>
  </si>
  <si>
    <t>Pos.</t>
  </si>
  <si>
    <t>Beschreibung</t>
  </si>
  <si>
    <t>Menge</t>
  </si>
  <si>
    <t>EH</t>
  </si>
  <si>
    <t>EP</t>
  </si>
  <si>
    <t>GP</t>
  </si>
  <si>
    <t>Angebot v.:</t>
  </si>
  <si>
    <t>Index</t>
  </si>
  <si>
    <t>AK</t>
  </si>
  <si>
    <t>Umsatz</t>
  </si>
  <si>
    <t>vom:</t>
  </si>
  <si>
    <t>CR Auskunft:</t>
  </si>
  <si>
    <t>01.01.01.</t>
  </si>
  <si>
    <t>01.01.01.010</t>
  </si>
  <si>
    <t>01.01.01.020</t>
  </si>
  <si>
    <t>01.01.01.030</t>
  </si>
  <si>
    <t>01.01.01.040</t>
  </si>
  <si>
    <t>01.01.01.050</t>
  </si>
  <si>
    <t>01.01.01.060</t>
  </si>
  <si>
    <t>01.01.01.070</t>
  </si>
  <si>
    <t>01.01.01.080</t>
  </si>
  <si>
    <t>01.01.01.090</t>
  </si>
  <si>
    <t>01.01.01.100</t>
  </si>
  <si>
    <t>01.01.01.110</t>
  </si>
  <si>
    <t>01.01.02.</t>
  </si>
  <si>
    <t>01.01.02.010</t>
  </si>
  <si>
    <t>01.01.02.020</t>
  </si>
  <si>
    <t>01.01.02.030</t>
  </si>
  <si>
    <t>01.01.02.040</t>
  </si>
  <si>
    <t>01.01.02.050</t>
  </si>
  <si>
    <t>01.01.02.060</t>
  </si>
  <si>
    <t>01.01.02.070</t>
  </si>
  <si>
    <t>01.01.02.090</t>
  </si>
  <si>
    <t>01.01.03.</t>
  </si>
  <si>
    <t>01.01.03.010</t>
  </si>
  <si>
    <t>01.01.03.020</t>
  </si>
  <si>
    <t>01.01.03.030</t>
  </si>
  <si>
    <t>01.01.03.040</t>
  </si>
  <si>
    <t>01.01.03.050</t>
  </si>
  <si>
    <t>01.01.04.</t>
  </si>
  <si>
    <t>01.01.04.010</t>
  </si>
  <si>
    <t>01.01.04.020</t>
  </si>
  <si>
    <t>01.01.04.030</t>
  </si>
  <si>
    <t>01.01.04.040</t>
  </si>
  <si>
    <t>01.01.04.050</t>
  </si>
  <si>
    <t>01.01.04.060</t>
  </si>
  <si>
    <t>01.01.05.</t>
  </si>
  <si>
    <t>01.01.05.010</t>
  </si>
  <si>
    <t>01.01.05.020</t>
  </si>
  <si>
    <t>01.01.05.030</t>
  </si>
  <si>
    <t>01.01.05.040</t>
  </si>
  <si>
    <t>01.01.05.050</t>
  </si>
  <si>
    <t>01.01.05.060</t>
  </si>
  <si>
    <t>01.01.05.070</t>
  </si>
  <si>
    <t>01.01.05.080</t>
  </si>
  <si>
    <t>01.01.05.090</t>
  </si>
  <si>
    <t>01.01.05.100</t>
  </si>
  <si>
    <t>01.01.05.110</t>
  </si>
  <si>
    <t>01.01.05.120</t>
  </si>
  <si>
    <t>01.01.05.130</t>
  </si>
  <si>
    <t>01.01.05.140</t>
  </si>
  <si>
    <t>01.01.05.160</t>
  </si>
  <si>
    <t>01.01.05.170</t>
  </si>
  <si>
    <t>01.01.05.180</t>
  </si>
  <si>
    <t>01.01.05.190</t>
  </si>
  <si>
    <t>01.01.05.200</t>
  </si>
  <si>
    <t>01.01.06.</t>
  </si>
  <si>
    <t>01.01.06.010</t>
  </si>
  <si>
    <t>01.01.06.020</t>
  </si>
  <si>
    <t>01.01.06.030</t>
  </si>
  <si>
    <t>01.01.06.040</t>
  </si>
  <si>
    <t>01.01.06.051</t>
  </si>
  <si>
    <t>Estrich, Riegel 1 + 2</t>
  </si>
  <si>
    <t>Bodenflächen reinigen</t>
  </si>
  <si>
    <t>m²</t>
  </si>
  <si>
    <t>Zulage Estrichbewehrung / Faserarmierung</t>
  </si>
  <si>
    <t>Heizestrich, Wohnungen Punkthäuser A-F</t>
  </si>
  <si>
    <t>Zulage Estrichbewehrung / Faserarmierung, Fliesenbelag</t>
  </si>
  <si>
    <t>Estrich, Treppenhäuser Punkthäuser A-F_EG-4.OG + STG</t>
  </si>
  <si>
    <t>Schwimmender Zementestrich, EPS-WD 70mm, Treppenhaus, BA 16</t>
  </si>
  <si>
    <t>Schwimmender Zementestrich, Schüttung 180mm, EPS-WD 60mm, Treppenhaus STG, BA 19</t>
  </si>
  <si>
    <t>Schwimmender Zementestrich, EPS-WD 70mm, Sauberlaufzone, BA 17</t>
  </si>
  <si>
    <t>Zulage Estrichbewehrung / Faserarmierung, Betonwerksteinbelag</t>
  </si>
  <si>
    <t>Estrich, Treppenhäuser UG</t>
  </si>
  <si>
    <t>Voranstrich, Betonbodenplatte, Bitumen, innen</t>
  </si>
  <si>
    <t>Abdichtung, Bodenfeuchte, G 200 S5</t>
  </si>
  <si>
    <t>Schwimmender Zementestrich, d=50mm, Treppenräume UG, BA 18</t>
  </si>
  <si>
    <t>Schwimmender Zementestrich, d=60mm, Schleusen UG, BA 01</t>
  </si>
  <si>
    <t>Sonstige Leistungen</t>
  </si>
  <si>
    <t>Bauteile schützen, Folie</t>
  </si>
  <si>
    <t>Zementestrich - Mehr-/Minderstärke  5 mm</t>
  </si>
  <si>
    <t>Zementestrich - Mehr-/Minderstärke 10 mm</t>
  </si>
  <si>
    <t>Wärmedämmung anpassen, Rohrleitungen/Kabeltrassen</t>
  </si>
  <si>
    <t>m</t>
  </si>
  <si>
    <t>Zementgebundene Schüttung, EPS-Granulat, d=16-37 cm</t>
  </si>
  <si>
    <t>Bewegungsfuge, Dämmstreifen, Estrich</t>
  </si>
  <si>
    <t>Zulage Gefälleausbildung zu Bodeneinläufen</t>
  </si>
  <si>
    <t>Randabstellung, Estrich, h=bis 37mm, Abstellwinkel aus beschichtetem Pappwinkel</t>
  </si>
  <si>
    <t>Abstellwinkel, feuerverzinkt, h=150-180 mm</t>
  </si>
  <si>
    <t>Abstellwinkel, feuerverzinkt, h=360 - 370 mm</t>
  </si>
  <si>
    <t>Zulage Estrichbewehrung, 50/50/2mm</t>
  </si>
  <si>
    <t>Trennfuge im Estrich herstellen, nachträglich verharzen</t>
  </si>
  <si>
    <t>Trenn-/Bewegungsfuge schneiden, Estrich</t>
  </si>
  <si>
    <t>Risse einschneiden, füllen, verdübeln, Estrich</t>
  </si>
  <si>
    <t>Aufheizen Heizestrich (Belegreifheizen)</t>
  </si>
  <si>
    <t>St</t>
  </si>
  <si>
    <t>Zulage, Zementestrich als Schnellestrich, Belegreife nach 7 Tagen</t>
  </si>
  <si>
    <t>Zulage, Zementestrich als Schnellestrich, Belegreife nach 14 Tagen</t>
  </si>
  <si>
    <t>Zulage, Zementestrich als Schnellestrich, Belegreife nach 21 Tagen</t>
  </si>
  <si>
    <t>Prüfung Feuchtigkeit, CM-Methode, Estrich</t>
  </si>
  <si>
    <t>Stundensätze</t>
  </si>
  <si>
    <t>Stundensatz Meister, Estricharbeiten</t>
  </si>
  <si>
    <t>h</t>
  </si>
  <si>
    <t>Stundensatz Vorarbeiter, Estricharbeiten</t>
  </si>
  <si>
    <t>Stundensatz Facharbeiter, Estricharbeiten</t>
  </si>
  <si>
    <t>Stundensatz Helfer, Estricharbeiten</t>
  </si>
  <si>
    <t>Zusatz Pos. Da. DEG: Baustelleneinrichtung inkl. Container</t>
  </si>
  <si>
    <t>NEP</t>
  </si>
  <si>
    <t>Angebotssumme</t>
  </si>
  <si>
    <t xml:space="preserve">Nachlaß </t>
  </si>
  <si>
    <t>Gesamt</t>
  </si>
  <si>
    <t>bauseitig</t>
  </si>
  <si>
    <t>kein Angebot</t>
  </si>
  <si>
    <t>KLK</t>
  </si>
  <si>
    <t>06761/ 9642310</t>
  </si>
  <si>
    <t>k.A.</t>
  </si>
  <si>
    <t>Darmstadt, Haardtring</t>
  </si>
  <si>
    <t>Schw. ZE, HE, EPS-TSD 30mm, EPS-WD 80mm, Vinyl-Bodenbeläge, BA 10</t>
  </si>
  <si>
    <t>Schw. ZE, HE, Schüttung 190mm, EPS-TSD 30mm, EPS-WD 80mm, Vinyl-Bodenbeläge, BA 13, STG</t>
  </si>
  <si>
    <t>Schw. ZE, HE, EPS-TSD 30mm, EPS-WD 60mm, Fliesenbelägen, BA 11</t>
  </si>
  <si>
    <t>Schw. ZE, HE, EPS-TSD 30mm, EPS-WD 65mm, Fliesenbelägen, BA 12</t>
  </si>
  <si>
    <t>Schw. ZE, HE, Schüttung 190mm, EPS-TSD 30mm, EPS-WD 60mm, Fliesenbeläge, BA 14, STG</t>
  </si>
  <si>
    <t>Schw. ZE, HE, Schüttung 200mm, EPS-TSD 30mm, EPS-WD 60mm, Fliesenbeläge, BA 15, STG</t>
  </si>
  <si>
    <t>Schw. ZE, EPS-TSD 30mm, EPS-WD 70mm, Vinyl-Bodenbeläge, BA 04</t>
  </si>
  <si>
    <t>Schw. ZE, EPS-TSD 30mm, EPS-WD 80mm, Vinyl-Bodenbeläge, BA 07, STG</t>
  </si>
  <si>
    <t>Schw. ZE, EPS-TSD 30mm, EPS-WD 50mm, Fliesenbeläge, BA 05</t>
  </si>
  <si>
    <t>Schw. ZE, EPS-TSD 30mm, EPS-WD 60mm, Fliesenbeläge, BA 06</t>
  </si>
  <si>
    <t>Schw. ZE, EPS-TSD 30mm, EPS-WD 60mm, Fliesenbeläge, BA 08, STG</t>
  </si>
  <si>
    <t>Schw. ZE, EPS-TSD 30mm, EPS-WD 60mm, Fliesenbeläge, BA 09, STG</t>
  </si>
  <si>
    <t>Schw. ZE, EPS-WD 70mm, Eingangsbereich, Betonwerkstein, BA16</t>
  </si>
  <si>
    <t>Schw. ZE,  EPS-WD 55mm, Rollstuhlabstellraum R1, Betonwerkstein, BA23</t>
  </si>
  <si>
    <t>Schw. ZE, EPS-WD 70mm, Sauberlaufzone, BA17</t>
  </si>
  <si>
    <t>01.01.01.081</t>
  </si>
  <si>
    <t>wie vor, jed. A1</t>
  </si>
  <si>
    <t>m2</t>
  </si>
  <si>
    <t>01.01.01.101</t>
  </si>
  <si>
    <t>01.01.03.021</t>
  </si>
  <si>
    <t>01.01.03.031</t>
  </si>
  <si>
    <t>01.01.03.041</t>
  </si>
  <si>
    <t>bauseitig!</t>
  </si>
  <si>
    <t>321 Estricharbeiten</t>
  </si>
  <si>
    <t>01.01.05.120A</t>
  </si>
  <si>
    <t>Trennfuge herstellen</t>
  </si>
  <si>
    <t>Tackerplatte liefern und verlegen</t>
  </si>
  <si>
    <t>Tackerplatte liefern und verlegen (Pos. 20, 30, 40, 50, 60) UPONOR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</si>
</sst>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[$€];[Red]\-#,##0.00\ [$€]"/>
    <numFmt numFmtId="165" formatCode="#,##0.00\ &quot;€&quot;"/>
  </numFmts>
  <fonts count="7" x14ac:knownFonts="1">
    <font>
      <sz val="10"/>
      <name val="MS Sans Serif"/>
    </font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0" fontId="2" fillId="0" borderId="0" xfId="0" applyFont="1" applyBorder="1"/>
    <xf numFmtId="0" fontId="2" fillId="0" borderId="1" xfId="0" applyFont="1" applyBorder="1"/>
    <xf numFmtId="0" fontId="3" fillId="2" borderId="4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" fontId="2" fillId="0" borderId="0" xfId="2" applyNumberFormat="1" applyFont="1" applyFill="1" applyBorder="1" applyAlignment="1">
      <alignment horizontal="center"/>
    </xf>
    <xf numFmtId="0" fontId="3" fillId="0" borderId="5" xfId="0" applyFont="1" applyBorder="1"/>
    <xf numFmtId="0" fontId="3" fillId="0" borderId="10" xfId="0" applyFont="1" applyBorder="1"/>
    <xf numFmtId="0" fontId="2" fillId="0" borderId="0" xfId="0" applyFont="1"/>
    <xf numFmtId="4" fontId="2" fillId="0" borderId="0" xfId="0" applyNumberFormat="1" applyFont="1"/>
    <xf numFmtId="2" fontId="2" fillId="0" borderId="0" xfId="0" applyNumberFormat="1" applyFont="1"/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3" borderId="3" xfId="0" applyFont="1" applyFill="1" applyBorder="1"/>
    <xf numFmtId="4" fontId="3" fillId="3" borderId="3" xfId="0" applyNumberFormat="1" applyFont="1" applyFill="1" applyBorder="1" applyAlignment="1">
      <alignment horizontal="center"/>
    </xf>
    <xf numFmtId="165" fontId="2" fillId="0" borderId="2" xfId="0" applyNumberFormat="1" applyFont="1" applyBorder="1"/>
    <xf numFmtId="165" fontId="3" fillId="3" borderId="4" xfId="0" applyNumberFormat="1" applyFont="1" applyFill="1" applyBorder="1"/>
    <xf numFmtId="165" fontId="2" fillId="0" borderId="2" xfId="2" applyNumberFormat="1" applyFont="1" applyFill="1" applyBorder="1" applyAlignment="1">
      <alignment horizontal="center"/>
    </xf>
    <xf numFmtId="4" fontId="3" fillId="3" borderId="4" xfId="0" applyNumberFormat="1" applyFont="1" applyFill="1" applyBorder="1"/>
    <xf numFmtId="4" fontId="2" fillId="0" borderId="2" xfId="0" applyNumberFormat="1" applyFont="1" applyBorder="1"/>
    <xf numFmtId="0" fontId="3" fillId="0" borderId="0" xfId="0" applyFont="1"/>
    <xf numFmtId="2" fontId="3" fillId="0" borderId="0" xfId="0" applyNumberFormat="1" applyFont="1"/>
    <xf numFmtId="4" fontId="3" fillId="0" borderId="0" xfId="0" applyNumberFormat="1" applyFont="1" applyAlignment="1">
      <alignment horizontal="center"/>
    </xf>
    <xf numFmtId="165" fontId="3" fillId="0" borderId="2" xfId="0" applyNumberFormat="1" applyFont="1" applyBorder="1"/>
    <xf numFmtId="4" fontId="2" fillId="0" borderId="4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3" fillId="3" borderId="4" xfId="0" applyNumberFormat="1" applyFont="1" applyFill="1" applyBorder="1" applyAlignment="1">
      <alignment horizontal="center"/>
    </xf>
    <xf numFmtId="4" fontId="2" fillId="0" borderId="2" xfId="2" applyNumberFormat="1" applyFont="1" applyFill="1" applyBorder="1" applyAlignment="1">
      <alignment horizontal="center"/>
    </xf>
    <xf numFmtId="4" fontId="3" fillId="0" borderId="2" xfId="2" applyNumberFormat="1" applyFont="1" applyFill="1" applyBorder="1" applyAlignment="1">
      <alignment horizontal="center"/>
    </xf>
    <xf numFmtId="0" fontId="2" fillId="0" borderId="2" xfId="0" applyFont="1" applyBorder="1"/>
    <xf numFmtId="4" fontId="3" fillId="0" borderId="2" xfId="0" applyNumberFormat="1" applyFont="1" applyBorder="1" applyAlignment="1">
      <alignment horizontal="center"/>
    </xf>
    <xf numFmtId="2" fontId="2" fillId="0" borderId="4" xfId="0" applyNumberFormat="1" applyFont="1" applyBorder="1"/>
    <xf numFmtId="2" fontId="2" fillId="0" borderId="2" xfId="0" applyNumberFormat="1" applyFont="1" applyBorder="1"/>
    <xf numFmtId="2" fontId="3" fillId="3" borderId="4" xfId="0" applyNumberFormat="1" applyFont="1" applyFill="1" applyBorder="1"/>
    <xf numFmtId="2" fontId="3" fillId="0" borderId="2" xfId="0" applyNumberFormat="1" applyFont="1" applyBorder="1"/>
    <xf numFmtId="4" fontId="5" fillId="0" borderId="0" xfId="0" applyNumberFormat="1" applyFont="1"/>
    <xf numFmtId="4" fontId="5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5" fillId="0" borderId="0" xfId="0" applyFont="1"/>
    <xf numFmtId="2" fontId="5" fillId="0" borderId="0" xfId="0" applyNumberFormat="1" applyFont="1"/>
    <xf numFmtId="4" fontId="5" fillId="0" borderId="0" xfId="0" applyNumberFormat="1" applyFont="1" applyBorder="1"/>
    <xf numFmtId="0" fontId="3" fillId="0" borderId="3" xfId="0" applyFont="1" applyBorder="1" applyAlignment="1">
      <alignment horizontal="left"/>
    </xf>
    <xf numFmtId="0" fontId="6" fillId="2" borderId="0" xfId="0" applyFont="1" applyFill="1"/>
    <xf numFmtId="2" fontId="6" fillId="2" borderId="2" xfId="0" applyNumberFormat="1" applyFont="1" applyFill="1" applyBorder="1"/>
    <xf numFmtId="4" fontId="6" fillId="2" borderId="0" xfId="0" applyNumberFormat="1" applyFont="1" applyFill="1" applyAlignment="1">
      <alignment horizontal="center"/>
    </xf>
    <xf numFmtId="4" fontId="6" fillId="2" borderId="2" xfId="0" applyNumberFormat="1" applyFont="1" applyFill="1" applyBorder="1" applyAlignment="1">
      <alignment horizontal="center"/>
    </xf>
    <xf numFmtId="14" fontId="3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6" fillId="0" borderId="0" xfId="0" applyFont="1"/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Font="1" applyBorder="1" applyAlignment="1">
      <alignment horizontal="right"/>
    </xf>
    <xf numFmtId="2" fontId="4" fillId="0" borderId="0" xfId="0" applyNumberFormat="1" applyFont="1"/>
    <xf numFmtId="14" fontId="3" fillId="4" borderId="2" xfId="0" applyNumberFormat="1" applyFont="1" applyFill="1" applyBorder="1"/>
    <xf numFmtId="0" fontId="2" fillId="5" borderId="0" xfId="0" applyFont="1" applyFill="1"/>
    <xf numFmtId="2" fontId="2" fillId="5" borderId="2" xfId="0" applyNumberFormat="1" applyFont="1" applyFill="1" applyBorder="1"/>
    <xf numFmtId="4" fontId="2" fillId="5" borderId="0" xfId="0" applyNumberFormat="1" applyFont="1" applyFill="1" applyBorder="1" applyAlignment="1">
      <alignment horizontal="center"/>
    </xf>
    <xf numFmtId="4" fontId="2" fillId="5" borderId="2" xfId="2" applyNumberFormat="1" applyFont="1" applyFill="1" applyBorder="1" applyAlignment="1">
      <alignment horizontal="center"/>
    </xf>
    <xf numFmtId="165" fontId="2" fillId="5" borderId="2" xfId="0" applyNumberFormat="1" applyFont="1" applyFill="1" applyBorder="1"/>
    <xf numFmtId="4" fontId="2" fillId="5" borderId="0" xfId="0" applyNumberFormat="1" applyFont="1" applyFill="1" applyAlignment="1">
      <alignment horizontal="center"/>
    </xf>
    <xf numFmtId="4" fontId="2" fillId="5" borderId="2" xfId="0" applyNumberFormat="1" applyFont="1" applyFill="1" applyBorder="1" applyAlignment="1">
      <alignment horizontal="center"/>
    </xf>
  </cellXfs>
  <cellStyles count="3">
    <cellStyle name="Euro" xfId="1"/>
    <cellStyle name="Standard" xfId="0" builtinId="0"/>
    <cellStyle name="Standard_FAG_548S" xfId="2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1"/>
  <sheetViews>
    <sheetView tabSelected="1" zoomScale="82" zoomScaleNormal="8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E1" sqref="E1:F1048576"/>
    </sheetView>
  </sheetViews>
  <sheetFormatPr baseColWidth="10" defaultColWidth="11.42578125" defaultRowHeight="12.45" x14ac:dyDescent="0.2"/>
  <cols>
    <col min="1" max="1" width="16.7109375" style="12" customWidth="1"/>
    <col min="2" max="2" width="88.140625" style="14" bestFit="1" customWidth="1"/>
    <col min="3" max="3" width="10.7109375" style="19" customWidth="1"/>
    <col min="4" max="4" width="8.5703125" style="19" customWidth="1"/>
    <col min="5" max="5" width="15.140625" style="19" bestFit="1" customWidth="1"/>
    <col min="6" max="6" width="15.5703125" style="13" bestFit="1" customWidth="1"/>
    <col min="7" max="7" width="11.42578125" style="12"/>
    <col min="10" max="16384" width="11.42578125" style="12"/>
  </cols>
  <sheetData>
    <row r="1" spans="1:6" ht="13.1" x14ac:dyDescent="0.25">
      <c r="A1" s="10" t="s">
        <v>0</v>
      </c>
      <c r="B1" s="56">
        <v>18002961</v>
      </c>
      <c r="C1" s="20"/>
      <c r="D1" s="15"/>
      <c r="E1" s="49" t="s">
        <v>2</v>
      </c>
      <c r="F1" s="3" t="s">
        <v>127</v>
      </c>
    </row>
    <row r="2" spans="1:6" ht="13.1" x14ac:dyDescent="0.25">
      <c r="A2" s="4"/>
      <c r="B2" s="50" t="s">
        <v>130</v>
      </c>
      <c r="C2" s="21"/>
      <c r="D2" s="16"/>
      <c r="E2" s="50" t="s">
        <v>3</v>
      </c>
      <c r="F2" s="5" t="s">
        <v>128</v>
      </c>
    </row>
    <row r="3" spans="1:6" ht="13.1" x14ac:dyDescent="0.25">
      <c r="A3" s="4"/>
      <c r="B3" s="1"/>
      <c r="C3" s="21"/>
      <c r="D3" s="16"/>
      <c r="E3" s="16"/>
      <c r="F3" s="5"/>
    </row>
    <row r="4" spans="1:6" ht="15.75" customHeight="1" thickBot="1" x14ac:dyDescent="0.3">
      <c r="A4" s="4" t="s">
        <v>1</v>
      </c>
      <c r="B4" s="32" t="s">
        <v>154</v>
      </c>
      <c r="C4" s="21"/>
      <c r="D4" s="16"/>
      <c r="E4" s="51" t="s">
        <v>10</v>
      </c>
      <c r="F4" s="68">
        <v>43962</v>
      </c>
    </row>
    <row r="5" spans="1:6" s="31" customFormat="1" ht="13.75" hidden="1" thickBot="1" x14ac:dyDescent="0.3">
      <c r="A5" s="31">
        <v>21</v>
      </c>
      <c r="B5" s="32"/>
      <c r="C5" s="22"/>
      <c r="D5" s="17"/>
      <c r="E5" s="17" t="s">
        <v>15</v>
      </c>
      <c r="F5" s="5"/>
    </row>
    <row r="6" spans="1:6" ht="13.1" hidden="1" thickBot="1" x14ac:dyDescent="0.25">
      <c r="A6" s="2"/>
      <c r="B6" s="1"/>
      <c r="C6" s="21"/>
      <c r="D6" s="16"/>
      <c r="E6" s="64" t="s">
        <v>14</v>
      </c>
      <c r="F6" s="65" t="s">
        <v>11</v>
      </c>
    </row>
    <row r="7" spans="1:6" ht="13.75" hidden="1" thickBot="1" x14ac:dyDescent="0.3">
      <c r="A7" s="2"/>
      <c r="B7" s="1"/>
      <c r="C7" s="21"/>
      <c r="D7" s="16"/>
      <c r="E7" s="61"/>
      <c r="F7" s="62"/>
    </row>
    <row r="8" spans="1:6" ht="13.1" hidden="1" thickBot="1" x14ac:dyDescent="0.25">
      <c r="A8" s="2"/>
      <c r="B8" s="1"/>
      <c r="C8" s="21"/>
      <c r="D8" s="16"/>
      <c r="E8" s="64" t="s">
        <v>12</v>
      </c>
      <c r="F8" s="65" t="s">
        <v>13</v>
      </c>
    </row>
    <row r="9" spans="1:6" ht="13.75" hidden="1" thickBot="1" x14ac:dyDescent="0.3">
      <c r="A9" s="2"/>
      <c r="B9" s="1"/>
      <c r="C9" s="21"/>
      <c r="D9" s="16"/>
      <c r="E9" s="66"/>
      <c r="F9" s="62"/>
    </row>
    <row r="10" spans="1:6" ht="13.75" thickBot="1" x14ac:dyDescent="0.3">
      <c r="A10" s="11" t="s">
        <v>4</v>
      </c>
      <c r="B10" s="6" t="s">
        <v>5</v>
      </c>
      <c r="C10" s="23" t="s">
        <v>6</v>
      </c>
      <c r="D10" s="8" t="s">
        <v>7</v>
      </c>
      <c r="E10" s="7" t="s">
        <v>8</v>
      </c>
      <c r="F10" s="8" t="s">
        <v>9</v>
      </c>
    </row>
    <row r="11" spans="1:6" x14ac:dyDescent="0.2">
      <c r="B11" s="42"/>
      <c r="D11" s="35"/>
      <c r="F11" s="26"/>
    </row>
    <row r="12" spans="1:6" x14ac:dyDescent="0.2">
      <c r="A12" s="12" t="s">
        <v>17</v>
      </c>
      <c r="B12" s="43" t="s">
        <v>77</v>
      </c>
      <c r="C12" s="19">
        <v>4467</v>
      </c>
      <c r="D12" s="36" t="s">
        <v>78</v>
      </c>
      <c r="E12" s="19">
        <v>0.5</v>
      </c>
      <c r="F12" s="26">
        <f t="shared" ref="F12" si="0">$C12*E12</f>
        <v>2233.5</v>
      </c>
    </row>
    <row r="13" spans="1:6" x14ac:dyDescent="0.2">
      <c r="A13" s="12" t="s">
        <v>18</v>
      </c>
      <c r="B13" s="43" t="s">
        <v>137</v>
      </c>
      <c r="C13" s="19">
        <v>3186</v>
      </c>
      <c r="D13" s="36" t="s">
        <v>78</v>
      </c>
      <c r="E13" s="19">
        <v>18.100000000000001</v>
      </c>
      <c r="F13" s="26">
        <f t="shared" ref="F13:F20" si="1">$C13*E13</f>
        <v>57666.600000000006</v>
      </c>
    </row>
    <row r="14" spans="1:6" x14ac:dyDescent="0.2">
      <c r="A14" s="12" t="s">
        <v>19</v>
      </c>
      <c r="B14" s="43" t="s">
        <v>138</v>
      </c>
      <c r="C14" s="19">
        <v>453</v>
      </c>
      <c r="D14" s="36" t="s">
        <v>78</v>
      </c>
      <c r="E14" s="19">
        <v>38.9</v>
      </c>
      <c r="F14" s="26">
        <f t="shared" si="1"/>
        <v>17621.7</v>
      </c>
    </row>
    <row r="15" spans="1:6" x14ac:dyDescent="0.2">
      <c r="A15" s="12" t="s">
        <v>20</v>
      </c>
      <c r="B15" s="43" t="s">
        <v>139</v>
      </c>
      <c r="C15" s="19">
        <v>325</v>
      </c>
      <c r="D15" s="36" t="s">
        <v>78</v>
      </c>
      <c r="E15" s="19">
        <v>16.8</v>
      </c>
      <c r="F15" s="26">
        <f t="shared" si="1"/>
        <v>5460</v>
      </c>
    </row>
    <row r="16" spans="1:6" x14ac:dyDescent="0.2">
      <c r="A16" s="12" t="s">
        <v>21</v>
      </c>
      <c r="B16" s="43" t="s">
        <v>140</v>
      </c>
      <c r="C16" s="19">
        <v>370</v>
      </c>
      <c r="D16" s="36" t="s">
        <v>78</v>
      </c>
      <c r="E16" s="19">
        <v>17.5</v>
      </c>
      <c r="F16" s="26">
        <f t="shared" si="1"/>
        <v>6475</v>
      </c>
    </row>
    <row r="17" spans="1:6" x14ac:dyDescent="0.2">
      <c r="A17" s="12" t="s">
        <v>22</v>
      </c>
      <c r="B17" s="43" t="s">
        <v>141</v>
      </c>
      <c r="C17" s="19">
        <v>41</v>
      </c>
      <c r="D17" s="36" t="s">
        <v>78</v>
      </c>
      <c r="E17" s="19">
        <v>37.6</v>
      </c>
      <c r="F17" s="26">
        <f t="shared" si="1"/>
        <v>1541.6000000000001</v>
      </c>
    </row>
    <row r="18" spans="1:6" x14ac:dyDescent="0.2">
      <c r="A18" s="12" t="s">
        <v>23</v>
      </c>
      <c r="B18" s="43" t="s">
        <v>142</v>
      </c>
      <c r="C18" s="19">
        <v>42</v>
      </c>
      <c r="D18" s="36" t="s">
        <v>78</v>
      </c>
      <c r="E18" s="19">
        <v>40.299999999999997</v>
      </c>
      <c r="F18" s="26">
        <f t="shared" si="1"/>
        <v>1692.6</v>
      </c>
    </row>
    <row r="19" spans="1:6" x14ac:dyDescent="0.2">
      <c r="A19" s="12" t="s">
        <v>24</v>
      </c>
      <c r="B19" s="43" t="s">
        <v>143</v>
      </c>
      <c r="C19" s="19">
        <v>30</v>
      </c>
      <c r="D19" s="36" t="s">
        <v>78</v>
      </c>
      <c r="F19" s="26"/>
    </row>
    <row r="20" spans="1:6" s="63" customFormat="1" x14ac:dyDescent="0.2">
      <c r="A20" s="57" t="s">
        <v>146</v>
      </c>
      <c r="B20" s="58" t="s">
        <v>147</v>
      </c>
      <c r="C20" s="59">
        <v>30</v>
      </c>
      <c r="D20" s="60" t="s">
        <v>148</v>
      </c>
      <c r="E20" s="19">
        <v>26.5</v>
      </c>
      <c r="F20" s="26">
        <f t="shared" si="1"/>
        <v>795</v>
      </c>
    </row>
    <row r="21" spans="1:6" x14ac:dyDescent="0.2">
      <c r="A21" s="12" t="s">
        <v>25</v>
      </c>
      <c r="B21" s="43" t="s">
        <v>144</v>
      </c>
      <c r="C21" s="19">
        <v>11</v>
      </c>
      <c r="D21" s="36" t="s">
        <v>78</v>
      </c>
      <c r="E21" s="19">
        <v>16.8</v>
      </c>
      <c r="F21" s="26">
        <f>$C21*E21</f>
        <v>184.8</v>
      </c>
    </row>
    <row r="22" spans="1:6" x14ac:dyDescent="0.2">
      <c r="A22" s="12" t="s">
        <v>26</v>
      </c>
      <c r="B22" s="43" t="s">
        <v>145</v>
      </c>
      <c r="C22" s="19">
        <v>10</v>
      </c>
      <c r="D22" s="36" t="s">
        <v>78</v>
      </c>
      <c r="F22" s="26"/>
    </row>
    <row r="23" spans="1:6" s="63" customFormat="1" x14ac:dyDescent="0.2">
      <c r="A23" s="57" t="s">
        <v>149</v>
      </c>
      <c r="B23" s="58" t="s">
        <v>147</v>
      </c>
      <c r="C23" s="59">
        <v>10</v>
      </c>
      <c r="D23" s="60" t="s">
        <v>148</v>
      </c>
      <c r="E23" s="19">
        <v>29.9</v>
      </c>
      <c r="F23" s="26">
        <f>$C23*E23</f>
        <v>299</v>
      </c>
    </row>
    <row r="24" spans="1:6" x14ac:dyDescent="0.2">
      <c r="A24" s="12" t="s">
        <v>27</v>
      </c>
      <c r="B24" s="43" t="s">
        <v>79</v>
      </c>
      <c r="C24" s="19">
        <v>829</v>
      </c>
      <c r="D24" s="36" t="s">
        <v>78</v>
      </c>
      <c r="E24" s="19">
        <v>1</v>
      </c>
      <c r="F24" s="26">
        <f>$C24*E24</f>
        <v>829</v>
      </c>
    </row>
    <row r="25" spans="1:6" ht="13.1" thickBot="1" x14ac:dyDescent="0.25">
      <c r="B25" s="43" t="s">
        <v>157</v>
      </c>
      <c r="C25" s="19">
        <f>C29+C30+C31+C32+C33</f>
        <v>9942</v>
      </c>
      <c r="D25" s="36"/>
      <c r="F25" s="26"/>
    </row>
    <row r="26" spans="1:6" ht="13.1" x14ac:dyDescent="0.25">
      <c r="A26" s="24" t="s">
        <v>16</v>
      </c>
      <c r="B26" s="44" t="s">
        <v>76</v>
      </c>
      <c r="C26" s="25"/>
      <c r="D26" s="37"/>
      <c r="E26" s="25"/>
      <c r="F26" s="27">
        <f>SUM(F12:F24)</f>
        <v>94798.800000000017</v>
      </c>
    </row>
    <row r="27" spans="1:6" x14ac:dyDescent="0.2">
      <c r="B27" s="43"/>
      <c r="D27" s="36"/>
      <c r="E27" s="21"/>
      <c r="F27" s="26"/>
    </row>
    <row r="28" spans="1:6" x14ac:dyDescent="0.2">
      <c r="A28" s="12" t="s">
        <v>29</v>
      </c>
      <c r="B28" s="43" t="s">
        <v>77</v>
      </c>
      <c r="C28" s="19">
        <v>9986</v>
      </c>
      <c r="D28" s="36" t="s">
        <v>78</v>
      </c>
      <c r="E28" s="19">
        <v>0.5</v>
      </c>
      <c r="F28" s="26">
        <f t="shared" ref="F28" si="2">$C28*E28</f>
        <v>4993</v>
      </c>
    </row>
    <row r="29" spans="1:6" x14ac:dyDescent="0.2">
      <c r="A29" s="12" t="s">
        <v>30</v>
      </c>
      <c r="B29" s="43" t="s">
        <v>131</v>
      </c>
      <c r="C29" s="19">
        <v>7425</v>
      </c>
      <c r="D29" s="36" t="s">
        <v>78</v>
      </c>
      <c r="E29" s="19">
        <v>18.7</v>
      </c>
      <c r="F29" s="26">
        <f t="shared" ref="F29:F35" si="3">$C29*E29</f>
        <v>138847.5</v>
      </c>
    </row>
    <row r="30" spans="1:6" x14ac:dyDescent="0.2">
      <c r="A30" s="12" t="s">
        <v>31</v>
      </c>
      <c r="B30" s="43" t="s">
        <v>132</v>
      </c>
      <c r="C30" s="19">
        <v>1047</v>
      </c>
      <c r="D30" s="36" t="s">
        <v>78</v>
      </c>
      <c r="E30" s="19">
        <v>45.1</v>
      </c>
      <c r="F30" s="26">
        <f t="shared" si="3"/>
        <v>47219.700000000004</v>
      </c>
    </row>
    <row r="31" spans="1:6" x14ac:dyDescent="0.2">
      <c r="A31" s="12" t="s">
        <v>32</v>
      </c>
      <c r="B31" s="43" t="s">
        <v>133</v>
      </c>
      <c r="C31" s="19">
        <v>718</v>
      </c>
      <c r="D31" s="36" t="s">
        <v>78</v>
      </c>
      <c r="E31" s="19">
        <v>17.399999999999999</v>
      </c>
      <c r="F31" s="26">
        <f t="shared" si="3"/>
        <v>12493.199999999999</v>
      </c>
    </row>
    <row r="32" spans="1:6" x14ac:dyDescent="0.2">
      <c r="A32" s="12" t="s">
        <v>33</v>
      </c>
      <c r="B32" s="43" t="s">
        <v>134</v>
      </c>
      <c r="C32" s="19">
        <v>607</v>
      </c>
      <c r="D32" s="36" t="s">
        <v>78</v>
      </c>
      <c r="E32" s="19">
        <v>18.3</v>
      </c>
      <c r="F32" s="26">
        <f t="shared" si="3"/>
        <v>11108.1</v>
      </c>
    </row>
    <row r="33" spans="1:6" x14ac:dyDescent="0.2">
      <c r="A33" s="12" t="s">
        <v>34</v>
      </c>
      <c r="B33" s="43" t="s">
        <v>135</v>
      </c>
      <c r="C33" s="19">
        <v>145</v>
      </c>
      <c r="D33" s="36" t="s">
        <v>78</v>
      </c>
      <c r="E33" s="19">
        <v>49.6</v>
      </c>
      <c r="F33" s="26">
        <f t="shared" si="3"/>
        <v>7192</v>
      </c>
    </row>
    <row r="34" spans="1:6" x14ac:dyDescent="0.2">
      <c r="A34" s="12" t="s">
        <v>35</v>
      </c>
      <c r="B34" s="43" t="s">
        <v>136</v>
      </c>
      <c r="C34" s="19">
        <v>45</v>
      </c>
      <c r="D34" s="36" t="s">
        <v>78</v>
      </c>
      <c r="E34" s="19">
        <v>47.2</v>
      </c>
      <c r="F34" s="26">
        <f t="shared" si="3"/>
        <v>2124</v>
      </c>
    </row>
    <row r="35" spans="1:6" x14ac:dyDescent="0.2">
      <c r="A35" s="12" t="s">
        <v>36</v>
      </c>
      <c r="B35" s="43" t="s">
        <v>81</v>
      </c>
      <c r="C35" s="19">
        <v>1515</v>
      </c>
      <c r="D35" s="36" t="s">
        <v>78</v>
      </c>
      <c r="E35" s="19">
        <v>1</v>
      </c>
      <c r="F35" s="26">
        <f t="shared" si="3"/>
        <v>1515</v>
      </c>
    </row>
    <row r="36" spans="1:6" ht="13.1" thickBot="1" x14ac:dyDescent="0.25">
      <c r="A36" s="69"/>
      <c r="B36" s="70" t="s">
        <v>158</v>
      </c>
      <c r="C36" s="74">
        <f>C40+C41+C42+C43+C44</f>
        <v>1476</v>
      </c>
      <c r="D36" s="75" t="s">
        <v>148</v>
      </c>
      <c r="E36" s="74"/>
      <c r="F36" s="73"/>
    </row>
    <row r="37" spans="1:6" ht="13.1" x14ac:dyDescent="0.25">
      <c r="A37" s="24" t="s">
        <v>28</v>
      </c>
      <c r="B37" s="44" t="s">
        <v>80</v>
      </c>
      <c r="C37" s="25"/>
      <c r="D37" s="37"/>
      <c r="E37" s="25"/>
      <c r="F37" s="27">
        <f>SUM(F28:F35)</f>
        <v>225492.50000000003</v>
      </c>
    </row>
    <row r="38" spans="1:6" x14ac:dyDescent="0.2">
      <c r="B38" s="43"/>
      <c r="D38" s="36"/>
      <c r="F38" s="26"/>
    </row>
    <row r="39" spans="1:6" x14ac:dyDescent="0.2">
      <c r="A39" s="12" t="s">
        <v>38</v>
      </c>
      <c r="B39" s="43" t="s">
        <v>77</v>
      </c>
      <c r="C39" s="19">
        <v>762</v>
      </c>
      <c r="D39" s="36" t="s">
        <v>78</v>
      </c>
      <c r="E39" s="19">
        <v>0.5</v>
      </c>
      <c r="F39" s="26">
        <f t="shared" ref="F39" si="4">$C39*E39</f>
        <v>381</v>
      </c>
    </row>
    <row r="40" spans="1:6" x14ac:dyDescent="0.2">
      <c r="A40" s="12" t="s">
        <v>39</v>
      </c>
      <c r="B40" s="43" t="s">
        <v>83</v>
      </c>
      <c r="C40" s="19">
        <v>606</v>
      </c>
      <c r="D40" s="36" t="s">
        <v>78</v>
      </c>
      <c r="F40" s="26"/>
    </row>
    <row r="41" spans="1:6" s="63" customFormat="1" x14ac:dyDescent="0.2">
      <c r="A41" s="57" t="s">
        <v>150</v>
      </c>
      <c r="B41" s="58" t="s">
        <v>147</v>
      </c>
      <c r="C41" s="59">
        <v>606</v>
      </c>
      <c r="D41" s="60" t="s">
        <v>148</v>
      </c>
      <c r="E41" s="19">
        <v>25.9</v>
      </c>
      <c r="F41" s="26">
        <f>$C41*E41</f>
        <v>15695.4</v>
      </c>
    </row>
    <row r="42" spans="1:6" x14ac:dyDescent="0.2">
      <c r="A42" s="12" t="s">
        <v>40</v>
      </c>
      <c r="B42" s="43" t="s">
        <v>84</v>
      </c>
      <c r="C42" s="19">
        <v>108</v>
      </c>
      <c r="D42" s="36" t="s">
        <v>78</v>
      </c>
      <c r="F42" s="26"/>
    </row>
    <row r="43" spans="1:6" s="63" customFormat="1" x14ac:dyDescent="0.2">
      <c r="A43" s="57" t="s">
        <v>151</v>
      </c>
      <c r="B43" s="58" t="s">
        <v>147</v>
      </c>
      <c r="C43" s="59">
        <v>108</v>
      </c>
      <c r="D43" s="60" t="s">
        <v>148</v>
      </c>
      <c r="E43" s="19">
        <v>57.9</v>
      </c>
      <c r="F43" s="26">
        <f>$C43*E43</f>
        <v>6253.2</v>
      </c>
    </row>
    <row r="44" spans="1:6" x14ac:dyDescent="0.2">
      <c r="A44" s="12" t="s">
        <v>41</v>
      </c>
      <c r="B44" s="43" t="s">
        <v>85</v>
      </c>
      <c r="C44" s="19">
        <v>48</v>
      </c>
      <c r="D44" s="36" t="s">
        <v>78</v>
      </c>
      <c r="F44" s="26"/>
    </row>
    <row r="45" spans="1:6" s="63" customFormat="1" x14ac:dyDescent="0.2">
      <c r="A45" s="57" t="s">
        <v>152</v>
      </c>
      <c r="B45" s="58" t="s">
        <v>147</v>
      </c>
      <c r="C45" s="59">
        <v>48</v>
      </c>
      <c r="D45" s="60" t="s">
        <v>148</v>
      </c>
      <c r="E45" s="19">
        <v>29.8</v>
      </c>
      <c r="F45" s="26">
        <f>$C45*E45</f>
        <v>1430.4</v>
      </c>
    </row>
    <row r="46" spans="1:6" ht="13.1" thickBot="1" x14ac:dyDescent="0.25">
      <c r="A46" s="12" t="s">
        <v>42</v>
      </c>
      <c r="B46" s="43" t="s">
        <v>86</v>
      </c>
      <c r="C46" s="19">
        <v>762</v>
      </c>
      <c r="D46" s="36" t="s">
        <v>78</v>
      </c>
      <c r="E46" s="19">
        <v>1</v>
      </c>
      <c r="F46" s="26">
        <f>$C46*E46</f>
        <v>762</v>
      </c>
    </row>
    <row r="47" spans="1:6" ht="13.1" x14ac:dyDescent="0.25">
      <c r="A47" s="24" t="s">
        <v>37</v>
      </c>
      <c r="B47" s="44" t="s">
        <v>82</v>
      </c>
      <c r="C47" s="25"/>
      <c r="D47" s="37"/>
      <c r="E47" s="25"/>
      <c r="F47" s="27">
        <f>SUM(F39:F46)</f>
        <v>24522</v>
      </c>
    </row>
    <row r="48" spans="1:6" x14ac:dyDescent="0.2">
      <c r="B48" s="43"/>
      <c r="D48" s="36"/>
      <c r="F48" s="26"/>
    </row>
    <row r="49" spans="1:6" x14ac:dyDescent="0.2">
      <c r="A49" s="12" t="s">
        <v>44</v>
      </c>
      <c r="B49" s="43" t="s">
        <v>77</v>
      </c>
      <c r="C49" s="19">
        <v>209</v>
      </c>
      <c r="D49" s="36" t="s">
        <v>78</v>
      </c>
      <c r="E49" s="19">
        <v>0.5</v>
      </c>
      <c r="F49" s="26">
        <f t="shared" ref="F49" si="5">$C49*E49</f>
        <v>104.5</v>
      </c>
    </row>
    <row r="50" spans="1:6" x14ac:dyDescent="0.2">
      <c r="A50" s="12" t="s">
        <v>45</v>
      </c>
      <c r="B50" s="43" t="s">
        <v>88</v>
      </c>
      <c r="C50" s="19">
        <v>209</v>
      </c>
      <c r="D50" s="36" t="s">
        <v>78</v>
      </c>
      <c r="E50" s="19" t="s">
        <v>153</v>
      </c>
      <c r="F50" s="26"/>
    </row>
    <row r="51" spans="1:6" x14ac:dyDescent="0.2">
      <c r="A51" s="12" t="s">
        <v>46</v>
      </c>
      <c r="B51" s="43" t="s">
        <v>89</v>
      </c>
      <c r="C51" s="19">
        <v>209</v>
      </c>
      <c r="D51" s="36" t="s">
        <v>78</v>
      </c>
      <c r="E51" s="19" t="s">
        <v>153</v>
      </c>
      <c r="F51" s="26"/>
    </row>
    <row r="52" spans="1:6" x14ac:dyDescent="0.2">
      <c r="A52" s="12" t="s">
        <v>47</v>
      </c>
      <c r="B52" s="43" t="s">
        <v>90</v>
      </c>
      <c r="C52" s="19">
        <v>123</v>
      </c>
      <c r="D52" s="36" t="s">
        <v>78</v>
      </c>
      <c r="E52" s="19">
        <v>11.8</v>
      </c>
      <c r="F52" s="26">
        <f>$C52*E52</f>
        <v>1451.4</v>
      </c>
    </row>
    <row r="53" spans="1:6" x14ac:dyDescent="0.2">
      <c r="A53" s="12" t="s">
        <v>48</v>
      </c>
      <c r="B53" s="43" t="s">
        <v>91</v>
      </c>
      <c r="C53" s="19">
        <v>86</v>
      </c>
      <c r="D53" s="36" t="s">
        <v>78</v>
      </c>
      <c r="E53" s="19">
        <v>12.7</v>
      </c>
      <c r="F53" s="26">
        <f>$C53*E53</f>
        <v>1092.2</v>
      </c>
    </row>
    <row r="54" spans="1:6" ht="13.1" thickBot="1" x14ac:dyDescent="0.25">
      <c r="A54" s="12" t="s">
        <v>49</v>
      </c>
      <c r="B54" s="43" t="s">
        <v>86</v>
      </c>
      <c r="C54" s="19">
        <v>209</v>
      </c>
      <c r="D54" s="36" t="s">
        <v>78</v>
      </c>
      <c r="E54" s="19">
        <v>1</v>
      </c>
      <c r="F54" s="26">
        <f>$C54*E54</f>
        <v>209</v>
      </c>
    </row>
    <row r="55" spans="1:6" ht="13.1" x14ac:dyDescent="0.25">
      <c r="A55" s="24" t="s">
        <v>43</v>
      </c>
      <c r="B55" s="44" t="s">
        <v>87</v>
      </c>
      <c r="C55" s="25"/>
      <c r="D55" s="37"/>
      <c r="E55" s="25"/>
      <c r="F55" s="27">
        <f>SUM(F49:F54)</f>
        <v>2857.1000000000004</v>
      </c>
    </row>
    <row r="56" spans="1:6" x14ac:dyDescent="0.2">
      <c r="B56" s="43"/>
      <c r="D56" s="36"/>
      <c r="F56" s="26"/>
    </row>
    <row r="57" spans="1:6" x14ac:dyDescent="0.2">
      <c r="A57" s="12" t="s">
        <v>51</v>
      </c>
      <c r="B57" s="43" t="s">
        <v>93</v>
      </c>
      <c r="C57" s="19">
        <v>1</v>
      </c>
      <c r="D57" s="36" t="s">
        <v>78</v>
      </c>
      <c r="E57" s="19">
        <v>5</v>
      </c>
      <c r="F57" s="26" t="s">
        <v>121</v>
      </c>
    </row>
    <row r="58" spans="1:6" x14ac:dyDescent="0.2">
      <c r="A58" s="12" t="s">
        <v>52</v>
      </c>
      <c r="B58" s="43" t="s">
        <v>94</v>
      </c>
      <c r="C58" s="19">
        <v>1</v>
      </c>
      <c r="D58" s="36" t="s">
        <v>78</v>
      </c>
      <c r="E58" s="19">
        <v>0.7</v>
      </c>
      <c r="F58" s="26" t="s">
        <v>121</v>
      </c>
    </row>
    <row r="59" spans="1:6" x14ac:dyDescent="0.2">
      <c r="A59" s="12" t="s">
        <v>53</v>
      </c>
      <c r="B59" s="43" t="s">
        <v>95</v>
      </c>
      <c r="C59" s="19">
        <v>1</v>
      </c>
      <c r="D59" s="36" t="s">
        <v>78</v>
      </c>
      <c r="E59" s="19">
        <v>1.4</v>
      </c>
      <c r="F59" s="26" t="s">
        <v>121</v>
      </c>
    </row>
    <row r="60" spans="1:6" x14ac:dyDescent="0.2">
      <c r="A60" s="12" t="s">
        <v>54</v>
      </c>
      <c r="B60" s="43" t="s">
        <v>96</v>
      </c>
      <c r="C60" s="19">
        <v>990</v>
      </c>
      <c r="D60" s="36" t="s">
        <v>97</v>
      </c>
      <c r="E60" s="19">
        <v>2</v>
      </c>
      <c r="F60" s="26">
        <f>$C60*E60</f>
        <v>1980</v>
      </c>
    </row>
    <row r="61" spans="1:6" x14ac:dyDescent="0.2">
      <c r="A61" s="12" t="s">
        <v>55</v>
      </c>
      <c r="B61" s="43" t="s">
        <v>98</v>
      </c>
      <c r="C61" s="19">
        <v>1</v>
      </c>
      <c r="D61" s="36" t="s">
        <v>78</v>
      </c>
      <c r="E61" s="19">
        <v>45</v>
      </c>
      <c r="F61" s="26" t="s">
        <v>121</v>
      </c>
    </row>
    <row r="62" spans="1:6" x14ac:dyDescent="0.2">
      <c r="A62" s="12" t="s">
        <v>56</v>
      </c>
      <c r="B62" s="43" t="s">
        <v>99</v>
      </c>
      <c r="C62" s="19">
        <v>899</v>
      </c>
      <c r="D62" s="36" t="s">
        <v>97</v>
      </c>
      <c r="E62" s="19">
        <v>2</v>
      </c>
      <c r="F62" s="26">
        <f>$C62*E62</f>
        <v>1798</v>
      </c>
    </row>
    <row r="63" spans="1:6" x14ac:dyDescent="0.2">
      <c r="A63" s="12" t="s">
        <v>57</v>
      </c>
      <c r="B63" s="43" t="s">
        <v>100</v>
      </c>
      <c r="C63" s="19">
        <v>1</v>
      </c>
      <c r="D63" s="36" t="s">
        <v>78</v>
      </c>
      <c r="E63" s="19">
        <v>15</v>
      </c>
      <c r="F63" s="26" t="s">
        <v>121</v>
      </c>
    </row>
    <row r="64" spans="1:6" x14ac:dyDescent="0.2">
      <c r="A64" s="12" t="s">
        <v>58</v>
      </c>
      <c r="B64" s="43" t="s">
        <v>101</v>
      </c>
      <c r="C64" s="19">
        <v>353</v>
      </c>
      <c r="D64" s="36" t="s">
        <v>97</v>
      </c>
      <c r="E64" s="19">
        <v>7.5</v>
      </c>
      <c r="F64" s="26">
        <f>$C64*E64</f>
        <v>2647.5</v>
      </c>
    </row>
    <row r="65" spans="1:6" x14ac:dyDescent="0.2">
      <c r="A65" s="12" t="s">
        <v>59</v>
      </c>
      <c r="B65" s="43" t="s">
        <v>102</v>
      </c>
      <c r="C65" s="21">
        <v>353</v>
      </c>
      <c r="D65" s="38" t="s">
        <v>97</v>
      </c>
      <c r="E65" s="48">
        <v>120</v>
      </c>
      <c r="F65" s="26" t="s">
        <v>121</v>
      </c>
    </row>
    <row r="66" spans="1:6" x14ac:dyDescent="0.2">
      <c r="A66" s="12" t="s">
        <v>60</v>
      </c>
      <c r="B66" s="43" t="s">
        <v>103</v>
      </c>
      <c r="C66" s="21">
        <v>353</v>
      </c>
      <c r="D66" s="38" t="s">
        <v>97</v>
      </c>
      <c r="E66" s="48">
        <v>150</v>
      </c>
      <c r="F66" s="26" t="s">
        <v>121</v>
      </c>
    </row>
    <row r="67" spans="1:6" x14ac:dyDescent="0.2">
      <c r="A67" s="12" t="s">
        <v>61</v>
      </c>
      <c r="B67" s="43" t="s">
        <v>104</v>
      </c>
      <c r="C67" s="21">
        <v>1</v>
      </c>
      <c r="D67" s="38" t="s">
        <v>78</v>
      </c>
      <c r="E67" s="19">
        <v>6.5</v>
      </c>
      <c r="F67" s="26" t="s">
        <v>121</v>
      </c>
    </row>
    <row r="68" spans="1:6" x14ac:dyDescent="0.2">
      <c r="A68" s="12" t="s">
        <v>62</v>
      </c>
      <c r="B68" s="43" t="s">
        <v>105</v>
      </c>
      <c r="C68" s="21">
        <v>219</v>
      </c>
      <c r="D68" s="38" t="s">
        <v>97</v>
      </c>
      <c r="E68" s="19">
        <v>12</v>
      </c>
      <c r="F68" s="26" t="s">
        <v>121</v>
      </c>
    </row>
    <row r="69" spans="1:6" x14ac:dyDescent="0.2">
      <c r="A69" s="69" t="s">
        <v>155</v>
      </c>
      <c r="B69" s="70" t="s">
        <v>156</v>
      </c>
      <c r="C69" s="71">
        <v>219</v>
      </c>
      <c r="D69" s="72" t="s">
        <v>97</v>
      </c>
      <c r="E69" s="74"/>
      <c r="F69" s="73"/>
    </row>
    <row r="70" spans="1:6" x14ac:dyDescent="0.2">
      <c r="A70" s="12" t="s">
        <v>63</v>
      </c>
      <c r="B70" s="43" t="s">
        <v>106</v>
      </c>
      <c r="C70" s="21">
        <v>1</v>
      </c>
      <c r="D70" s="38" t="s">
        <v>97</v>
      </c>
      <c r="E70" s="19" t="s">
        <v>129</v>
      </c>
      <c r="F70" s="26" t="s">
        <v>121</v>
      </c>
    </row>
    <row r="71" spans="1:6" ht="13.1" x14ac:dyDescent="0.25">
      <c r="A71" s="12" t="s">
        <v>64</v>
      </c>
      <c r="B71" s="43" t="s">
        <v>107</v>
      </c>
      <c r="C71" s="21">
        <v>1</v>
      </c>
      <c r="D71" s="39" t="s">
        <v>97</v>
      </c>
      <c r="E71" s="19" t="s">
        <v>129</v>
      </c>
      <c r="F71" s="26" t="s">
        <v>121</v>
      </c>
    </row>
    <row r="72" spans="1:6" x14ac:dyDescent="0.2">
      <c r="A72" s="12" t="s">
        <v>65</v>
      </c>
      <c r="B72" s="43" t="s">
        <v>108</v>
      </c>
      <c r="C72" s="21">
        <v>8</v>
      </c>
      <c r="D72" s="38" t="s">
        <v>109</v>
      </c>
      <c r="E72" s="19" t="s">
        <v>126</v>
      </c>
      <c r="F72" s="26"/>
    </row>
    <row r="73" spans="1:6" x14ac:dyDescent="0.2">
      <c r="A73" s="12" t="s">
        <v>66</v>
      </c>
      <c r="B73" s="43" t="s">
        <v>110</v>
      </c>
      <c r="C73" s="21">
        <v>1</v>
      </c>
      <c r="D73" s="38" t="s">
        <v>78</v>
      </c>
      <c r="E73" s="19">
        <v>6</v>
      </c>
      <c r="F73" s="26" t="s">
        <v>121</v>
      </c>
    </row>
    <row r="74" spans="1:6" x14ac:dyDescent="0.2">
      <c r="A74" s="12" t="s">
        <v>67</v>
      </c>
      <c r="B74" s="43" t="s">
        <v>111</v>
      </c>
      <c r="C74" s="21">
        <v>1</v>
      </c>
      <c r="D74" s="38" t="s">
        <v>78</v>
      </c>
      <c r="E74" s="19">
        <v>4.8</v>
      </c>
      <c r="F74" s="26" t="s">
        <v>121</v>
      </c>
    </row>
    <row r="75" spans="1:6" x14ac:dyDescent="0.2">
      <c r="A75" s="12" t="s">
        <v>68</v>
      </c>
      <c r="B75" s="43" t="s">
        <v>112</v>
      </c>
      <c r="C75" s="21">
        <v>1</v>
      </c>
      <c r="D75" s="38" t="s">
        <v>78</v>
      </c>
      <c r="E75" s="19">
        <v>4</v>
      </c>
      <c r="F75" s="26" t="s">
        <v>121</v>
      </c>
    </row>
    <row r="76" spans="1:6" ht="13.1" thickBot="1" x14ac:dyDescent="0.25">
      <c r="A76" s="12" t="s">
        <v>69</v>
      </c>
      <c r="B76" s="43" t="s">
        <v>113</v>
      </c>
      <c r="C76" s="21">
        <v>396</v>
      </c>
      <c r="D76" s="38" t="s">
        <v>109</v>
      </c>
      <c r="E76" s="19" t="s">
        <v>125</v>
      </c>
      <c r="F76" s="26"/>
    </row>
    <row r="77" spans="1:6" ht="13.1" x14ac:dyDescent="0.25">
      <c r="A77" s="24" t="s">
        <v>50</v>
      </c>
      <c r="B77" s="44" t="s">
        <v>92</v>
      </c>
      <c r="C77" s="25"/>
      <c r="D77" s="37"/>
      <c r="E77" s="25"/>
      <c r="F77" s="27">
        <f>SUM(F57:F76)</f>
        <v>6425.5</v>
      </c>
    </row>
    <row r="78" spans="1:6" x14ac:dyDescent="0.2">
      <c r="B78" s="43"/>
      <c r="C78" s="21"/>
      <c r="D78" s="38"/>
      <c r="E78" s="9"/>
      <c r="F78" s="28"/>
    </row>
    <row r="79" spans="1:6" x14ac:dyDescent="0.2">
      <c r="A79" s="12" t="s">
        <v>71</v>
      </c>
      <c r="B79" s="43" t="s">
        <v>115</v>
      </c>
      <c r="C79" s="19">
        <v>1</v>
      </c>
      <c r="D79" s="36" t="s">
        <v>116</v>
      </c>
      <c r="E79" s="19">
        <v>52</v>
      </c>
      <c r="F79" s="26" t="s">
        <v>121</v>
      </c>
    </row>
    <row r="80" spans="1:6" x14ac:dyDescent="0.2">
      <c r="A80" s="12" t="s">
        <v>72</v>
      </c>
      <c r="B80" s="43" t="s">
        <v>117</v>
      </c>
      <c r="C80" s="19">
        <v>1</v>
      </c>
      <c r="D80" s="36" t="s">
        <v>116</v>
      </c>
      <c r="E80" s="19">
        <v>49</v>
      </c>
      <c r="F80" s="26" t="s">
        <v>121</v>
      </c>
    </row>
    <row r="81" spans="1:6" x14ac:dyDescent="0.2">
      <c r="A81" s="12" t="s">
        <v>73</v>
      </c>
      <c r="B81" s="43" t="s">
        <v>118</v>
      </c>
      <c r="C81" s="19">
        <v>1</v>
      </c>
      <c r="D81" s="36" t="s">
        <v>116</v>
      </c>
      <c r="E81" s="19">
        <v>44</v>
      </c>
      <c r="F81" s="26" t="s">
        <v>121</v>
      </c>
    </row>
    <row r="82" spans="1:6" x14ac:dyDescent="0.2">
      <c r="A82" s="12" t="s">
        <v>74</v>
      </c>
      <c r="B82" s="43" t="s">
        <v>119</v>
      </c>
      <c r="C82" s="19">
        <v>1</v>
      </c>
      <c r="D82" s="36" t="s">
        <v>116</v>
      </c>
      <c r="E82" s="19">
        <v>42</v>
      </c>
      <c r="F82" s="26" t="s">
        <v>121</v>
      </c>
    </row>
    <row r="83" spans="1:6" s="63" customFormat="1" ht="13.1" thickBot="1" x14ac:dyDescent="0.25">
      <c r="A83" s="57" t="s">
        <v>75</v>
      </c>
      <c r="B83" s="58" t="s">
        <v>120</v>
      </c>
      <c r="C83" s="59">
        <v>1</v>
      </c>
      <c r="D83" s="60" t="s">
        <v>109</v>
      </c>
      <c r="E83" s="19"/>
      <c r="F83" s="26"/>
    </row>
    <row r="84" spans="1:6" ht="13.1" x14ac:dyDescent="0.25">
      <c r="A84" s="24" t="s">
        <v>70</v>
      </c>
      <c r="B84" s="44" t="s">
        <v>114</v>
      </c>
      <c r="C84" s="25"/>
      <c r="D84" s="37"/>
      <c r="E84" s="25"/>
      <c r="F84" s="29">
        <f>SUM(F79:F83)</f>
        <v>0</v>
      </c>
    </row>
    <row r="85" spans="1:6" x14ac:dyDescent="0.2">
      <c r="B85" s="43"/>
      <c r="D85" s="36"/>
      <c r="F85" s="30"/>
    </row>
    <row r="86" spans="1:6" x14ac:dyDescent="0.2">
      <c r="B86" s="43"/>
      <c r="D86" s="36"/>
      <c r="F86" s="30"/>
    </row>
    <row r="87" spans="1:6" x14ac:dyDescent="0.2">
      <c r="A87" s="12" t="str">
        <f>A26</f>
        <v>01.01.01.</v>
      </c>
      <c r="B87" s="40" t="str">
        <f>B26</f>
        <v>Estrich, Riegel 1 + 2</v>
      </c>
      <c r="C87" s="12"/>
      <c r="D87" s="40"/>
      <c r="E87" s="18"/>
      <c r="F87" s="26">
        <f>F26</f>
        <v>94798.800000000017</v>
      </c>
    </row>
    <row r="88" spans="1:6" x14ac:dyDescent="0.2">
      <c r="A88" s="12" t="str">
        <f>A37</f>
        <v>01.01.02.</v>
      </c>
      <c r="B88" s="40" t="str">
        <f>B37</f>
        <v>Heizestrich, Wohnungen Punkthäuser A-F</v>
      </c>
      <c r="C88" s="12"/>
      <c r="D88" s="40"/>
      <c r="E88" s="18"/>
      <c r="F88" s="26">
        <f>F37</f>
        <v>225492.50000000003</v>
      </c>
    </row>
    <row r="89" spans="1:6" x14ac:dyDescent="0.2">
      <c r="A89" s="12" t="str">
        <f>A47</f>
        <v>01.01.03.</v>
      </c>
      <c r="B89" s="40" t="str">
        <f>B47</f>
        <v>Estrich, Treppenhäuser Punkthäuser A-F_EG-4.OG + STG</v>
      </c>
      <c r="C89" s="12"/>
      <c r="D89" s="40"/>
      <c r="E89" s="18"/>
      <c r="F89" s="26">
        <f>F47</f>
        <v>24522</v>
      </c>
    </row>
    <row r="90" spans="1:6" x14ac:dyDescent="0.2">
      <c r="A90" s="12" t="str">
        <f>A55</f>
        <v>01.01.04.</v>
      </c>
      <c r="B90" s="40" t="str">
        <f>B55</f>
        <v>Estrich, Treppenhäuser UG</v>
      </c>
      <c r="C90" s="12"/>
      <c r="D90" s="40"/>
      <c r="E90" s="18"/>
      <c r="F90" s="26">
        <f>F55</f>
        <v>2857.1000000000004</v>
      </c>
    </row>
    <row r="91" spans="1:6" x14ac:dyDescent="0.2">
      <c r="A91" s="12" t="str">
        <f>A77</f>
        <v>01.01.05.</v>
      </c>
      <c r="B91" s="40" t="str">
        <f>B77</f>
        <v>Sonstige Leistungen</v>
      </c>
      <c r="C91" s="12"/>
      <c r="D91" s="40"/>
      <c r="E91" s="18"/>
      <c r="F91" s="26">
        <f>F77</f>
        <v>6425.5</v>
      </c>
    </row>
    <row r="92" spans="1:6" x14ac:dyDescent="0.2">
      <c r="A92" s="12" t="str">
        <f>A84</f>
        <v>01.01.06.</v>
      </c>
      <c r="B92" s="40" t="str">
        <f>B84</f>
        <v>Stundensätze</v>
      </c>
      <c r="C92" s="12"/>
      <c r="D92" s="40"/>
      <c r="E92" s="18"/>
      <c r="F92" s="26"/>
    </row>
    <row r="93" spans="1:6" x14ac:dyDescent="0.2">
      <c r="B93" s="43"/>
      <c r="D93" s="36"/>
      <c r="F93" s="30"/>
    </row>
    <row r="94" spans="1:6" x14ac:dyDescent="0.2">
      <c r="B94" s="43" t="s">
        <v>122</v>
      </c>
      <c r="D94" s="36"/>
      <c r="F94" s="26">
        <f>SUM(F87:F93)</f>
        <v>354095.9</v>
      </c>
    </row>
    <row r="95" spans="1:6" x14ac:dyDescent="0.2">
      <c r="B95" s="43" t="s">
        <v>123</v>
      </c>
      <c r="D95" s="36"/>
      <c r="E95" s="52">
        <v>0</v>
      </c>
      <c r="F95" s="26">
        <f>-E95*F94</f>
        <v>0</v>
      </c>
    </row>
    <row r="96" spans="1:6" ht="13.1" x14ac:dyDescent="0.25">
      <c r="A96" s="31"/>
      <c r="B96" s="45" t="s">
        <v>124</v>
      </c>
      <c r="C96" s="33"/>
      <c r="D96" s="41"/>
      <c r="E96" s="33"/>
      <c r="F96" s="34">
        <f>SUM(F94:F95)</f>
        <v>354095.9</v>
      </c>
    </row>
    <row r="97" spans="2:6" x14ac:dyDescent="0.2">
      <c r="B97" s="43"/>
      <c r="D97" s="36"/>
      <c r="F97" s="30"/>
    </row>
    <row r="99" spans="2:6" s="53" customFormat="1" ht="13.1" x14ac:dyDescent="0.25">
      <c r="B99" s="67"/>
      <c r="C99" s="48"/>
      <c r="D99" s="48"/>
      <c r="E99" s="47"/>
      <c r="F99" s="55"/>
    </row>
    <row r="100" spans="2:6" s="53" customFormat="1" x14ac:dyDescent="0.2">
      <c r="B100" s="54"/>
      <c r="C100" s="48"/>
      <c r="D100" s="48"/>
      <c r="E100" s="47"/>
      <c r="F100" s="55"/>
    </row>
    <row r="101" spans="2:6" s="53" customFormat="1" x14ac:dyDescent="0.2">
      <c r="B101" s="54"/>
      <c r="C101" s="48"/>
      <c r="D101" s="48"/>
      <c r="E101" s="48"/>
      <c r="F101" s="46"/>
    </row>
  </sheetData>
  <printOptions gridLines="1"/>
  <pageMargins left="0.31496062992125984" right="0.19685039370078741" top="0.78740157480314965" bottom="0.78740157480314965" header="0.31496062992125984" footer="0.31496062992125984"/>
  <pageSetup paperSize="9" scale="65" fitToHeight="2" orientation="portrait" horizontalDpi="4294967295" verticalDpi="4294967295" r:id="rId1"/>
  <headerFooter>
    <oddHeader>&amp;L&amp;"MS Sans Serif,Fett"&amp;12Anlage 8 zum VP vom &amp;D&amp;RSeite &amp;Pvon &amp;N</oddHeader>
    <oddFooter>&amp;L&amp;Z&amp;F, Ausdruck vom &amp;D* ko&amp;RSeite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baseColWidth="10" defaultRowHeight="11.1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Tabelle1</vt:lpstr>
      <vt:lpstr>Tabelle2</vt:lpstr>
      <vt:lpstr>Tabelle1!Druckbereich</vt:lpstr>
      <vt:lpstr>Tabelle1!Drucktitel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 Lupp GmbH &amp; Co.KG</dc:creator>
  <cp:lastModifiedBy>Osterloh, Karola</cp:lastModifiedBy>
  <cp:lastPrinted>2020-07-08T12:31:15Z</cp:lastPrinted>
  <dcterms:created xsi:type="dcterms:W3CDTF">1998-11-17T10:57:05Z</dcterms:created>
  <dcterms:modified xsi:type="dcterms:W3CDTF">2020-07-09T11:48:46Z</dcterms:modified>
</cp:coreProperties>
</file>