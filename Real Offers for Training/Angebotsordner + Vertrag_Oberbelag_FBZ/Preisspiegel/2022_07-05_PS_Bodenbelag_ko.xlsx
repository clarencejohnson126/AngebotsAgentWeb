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Volumes/Projekte2/20006551 Offenbach, LEIQ_Ausbau/4_01 NU/Bodenbelagsarbeiten__(V)/4_01_02_NU-Vertrag/Preisspiegel/"/>
    </mc:Choice>
  </mc:AlternateContent>
  <xr:revisionPtr revIDLastSave="0" documentId="13_ncr:1_{D556AC83-24D5-5A45-BC18-B42B7AB84E47}" xr6:coauthVersionLast="47" xr6:coauthVersionMax="47" xr10:uidLastSave="{00000000-0000-0000-0000-000000000000}"/>
  <bookViews>
    <workbookView xWindow="0" yWindow="500" windowWidth="38400" windowHeight="17840" activeTab="1" xr2:uid="{00000000-000D-0000-FFFF-FFFF00000000}"/>
  </bookViews>
  <sheets>
    <sheet name="Tabelle1" sheetId="1" r:id="rId1"/>
    <sheet name="Tabelle2" sheetId="2" r:id="rId2"/>
  </sheets>
  <definedNames>
    <definedName name="_xlnm.Print_Area" localSheetId="0">Tabelle1!$A$1:$U$110</definedName>
    <definedName name="_xlnm.Print_Area" localSheetId="1">Tabelle2!$A$1:$K$137</definedName>
    <definedName name="_xlnm.Print_Titles" localSheetId="0">Tabelle1!$1:$3</definedName>
    <definedName name="_xlnm.Print_Titles" localSheetId="1">Tabelle2!$1:$3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7" i="2" l="1"/>
  <c r="I136" i="2"/>
  <c r="H67" i="2"/>
  <c r="O34" i="2"/>
  <c r="K81" i="2" l="1"/>
  <c r="I81" i="2"/>
  <c r="K92" i="2"/>
  <c r="K89" i="2"/>
  <c r="K85" i="2"/>
  <c r="K84" i="2"/>
  <c r="K57" i="2"/>
  <c r="K50" i="2"/>
  <c r="K49" i="2"/>
  <c r="K48" i="2"/>
  <c r="K60" i="2" s="1"/>
  <c r="K36" i="2"/>
  <c r="K34" i="2"/>
  <c r="K33" i="2"/>
  <c r="K32" i="2"/>
  <c r="K20" i="2"/>
  <c r="K17" i="2"/>
  <c r="K14" i="2"/>
  <c r="K13" i="2"/>
  <c r="K12" i="2"/>
  <c r="O20" i="2"/>
  <c r="O36" i="2"/>
  <c r="O57" i="2"/>
  <c r="O92" i="2"/>
  <c r="O17" i="2"/>
  <c r="G34" i="2"/>
  <c r="F17" i="2"/>
  <c r="G17" i="2" s="1"/>
  <c r="F18" i="2"/>
  <c r="I34" i="2"/>
  <c r="I17" i="2"/>
  <c r="G20" i="2"/>
  <c r="I92" i="2"/>
  <c r="I57" i="2"/>
  <c r="I36" i="2"/>
  <c r="G92" i="2"/>
  <c r="G57" i="2"/>
  <c r="G36" i="2"/>
  <c r="I20" i="2"/>
  <c r="D108" i="2"/>
  <c r="I108" i="2" l="1"/>
  <c r="K108" i="2"/>
  <c r="O108" i="2"/>
  <c r="G108" i="2"/>
  <c r="N123" i="2"/>
  <c r="N122" i="2"/>
  <c r="N121" i="2"/>
  <c r="N118" i="2"/>
  <c r="N117" i="2"/>
  <c r="N116" i="2"/>
  <c r="N115" i="2"/>
  <c r="N114" i="2"/>
  <c r="N113" i="2"/>
  <c r="N107" i="2"/>
  <c r="N106" i="2"/>
  <c r="N105" i="2"/>
  <c r="O104" i="2"/>
  <c r="N101" i="2"/>
  <c r="N100" i="2"/>
  <c r="N99" i="2"/>
  <c r="N98" i="2"/>
  <c r="N97" i="2"/>
  <c r="N94" i="2"/>
  <c r="N93" i="2"/>
  <c r="N91" i="2"/>
  <c r="N90" i="2"/>
  <c r="N89" i="2"/>
  <c r="O89" i="2" s="1"/>
  <c r="N88" i="2"/>
  <c r="O85" i="2"/>
  <c r="O84" i="2"/>
  <c r="O81" i="2"/>
  <c r="N66" i="2"/>
  <c r="N65" i="2"/>
  <c r="N64" i="2"/>
  <c r="N63" i="2"/>
  <c r="N62" i="2"/>
  <c r="N56" i="2"/>
  <c r="N55" i="2"/>
  <c r="N54" i="2"/>
  <c r="N53" i="2"/>
  <c r="N52" i="2"/>
  <c r="N51" i="2"/>
  <c r="N50" i="2"/>
  <c r="N49" i="2"/>
  <c r="O49" i="2" s="1"/>
  <c r="N48" i="2"/>
  <c r="O48" i="2" s="1"/>
  <c r="N45" i="2"/>
  <c r="N44" i="2"/>
  <c r="N43" i="2"/>
  <c r="N42" i="2"/>
  <c r="N41" i="2"/>
  <c r="O41" i="2" s="1"/>
  <c r="N40" i="2"/>
  <c r="N39" i="2"/>
  <c r="O33" i="2"/>
  <c r="N32" i="2"/>
  <c r="O32" i="2" s="1"/>
  <c r="O13" i="2"/>
  <c r="O14" i="2"/>
  <c r="N16" i="2"/>
  <c r="N18" i="2"/>
  <c r="N19" i="2"/>
  <c r="N25" i="2"/>
  <c r="N26" i="2"/>
  <c r="N27" i="2"/>
  <c r="N28" i="2"/>
  <c r="N29" i="2"/>
  <c r="O12" i="2"/>
  <c r="H123" i="2"/>
  <c r="H122" i="2"/>
  <c r="H121" i="2"/>
  <c r="H118" i="2"/>
  <c r="H117" i="2"/>
  <c r="H116" i="2"/>
  <c r="H115" i="2"/>
  <c r="H114" i="2"/>
  <c r="H113" i="2"/>
  <c r="H107" i="2"/>
  <c r="H106" i="2"/>
  <c r="H105" i="2"/>
  <c r="H104" i="2"/>
  <c r="I104" i="2" s="1"/>
  <c r="I111" i="2" s="1"/>
  <c r="H101" i="2"/>
  <c r="H100" i="2"/>
  <c r="H99" i="2"/>
  <c r="H98" i="2"/>
  <c r="H97" i="2"/>
  <c r="H94" i="2"/>
  <c r="H93" i="2"/>
  <c r="H91" i="2"/>
  <c r="H90" i="2"/>
  <c r="I89" i="2"/>
  <c r="H88" i="2"/>
  <c r="H87" i="2"/>
  <c r="H86" i="2"/>
  <c r="H85" i="2"/>
  <c r="I85" i="2" s="1"/>
  <c r="H84" i="2"/>
  <c r="I84" i="2" s="1"/>
  <c r="H66" i="2"/>
  <c r="H65" i="2"/>
  <c r="H64" i="2"/>
  <c r="H63" i="2"/>
  <c r="H62" i="2"/>
  <c r="H56" i="2"/>
  <c r="H55" i="2"/>
  <c r="H54" i="2"/>
  <c r="H53" i="2"/>
  <c r="H52" i="2"/>
  <c r="H51" i="2"/>
  <c r="H50" i="2"/>
  <c r="I50" i="2" s="1"/>
  <c r="H49" i="2"/>
  <c r="I49" i="2" s="1"/>
  <c r="H48" i="2"/>
  <c r="I48" i="2" s="1"/>
  <c r="H45" i="2"/>
  <c r="H44" i="2"/>
  <c r="H43" i="2"/>
  <c r="H42" i="2"/>
  <c r="H41" i="2"/>
  <c r="I41" i="2" s="1"/>
  <c r="H40" i="2"/>
  <c r="H39" i="2"/>
  <c r="H35" i="2"/>
  <c r="H33" i="2"/>
  <c r="I33" i="2" s="1"/>
  <c r="H32" i="2"/>
  <c r="I32" i="2" s="1"/>
  <c r="H13" i="2"/>
  <c r="I13" i="2" s="1"/>
  <c r="H14" i="2"/>
  <c r="I14" i="2" s="1"/>
  <c r="H15" i="2"/>
  <c r="H16" i="2"/>
  <c r="H18" i="2"/>
  <c r="H19" i="2"/>
  <c r="H23" i="2"/>
  <c r="H24" i="2"/>
  <c r="H25" i="2"/>
  <c r="H26" i="2"/>
  <c r="H27" i="2"/>
  <c r="H28" i="2"/>
  <c r="H29" i="2"/>
  <c r="H12" i="2"/>
  <c r="I12" i="2" s="1"/>
  <c r="F122" i="2"/>
  <c r="F121" i="2"/>
  <c r="F118" i="2"/>
  <c r="F117" i="2"/>
  <c r="F116" i="2"/>
  <c r="F115" i="2"/>
  <c r="F114" i="2"/>
  <c r="F113" i="2"/>
  <c r="F107" i="2"/>
  <c r="F106" i="2"/>
  <c r="F105" i="2"/>
  <c r="F104" i="2"/>
  <c r="G104" i="2" s="1"/>
  <c r="G111" i="2" s="1"/>
  <c r="F101" i="2"/>
  <c r="F100" i="2"/>
  <c r="F99" i="2"/>
  <c r="F98" i="2"/>
  <c r="F97" i="2"/>
  <c r="F94" i="2"/>
  <c r="F93" i="2"/>
  <c r="F91" i="2"/>
  <c r="F90" i="2"/>
  <c r="F89" i="2"/>
  <c r="G89" i="2" s="1"/>
  <c r="F88" i="2"/>
  <c r="F87" i="2"/>
  <c r="F86" i="2"/>
  <c r="F85" i="2"/>
  <c r="G85" i="2" s="1"/>
  <c r="F84" i="2"/>
  <c r="G84" i="2" s="1"/>
  <c r="G81" i="2"/>
  <c r="F66" i="2"/>
  <c r="F65" i="2"/>
  <c r="F64" i="2"/>
  <c r="F63" i="2"/>
  <c r="F62" i="2"/>
  <c r="F56" i="2"/>
  <c r="F55" i="2"/>
  <c r="F54" i="2"/>
  <c r="F53" i="2"/>
  <c r="F52" i="2"/>
  <c r="F51" i="2"/>
  <c r="F50" i="2"/>
  <c r="F49" i="2"/>
  <c r="G49" i="2" s="1"/>
  <c r="F48" i="2"/>
  <c r="G48" i="2" s="1"/>
  <c r="F45" i="2"/>
  <c r="F44" i="2"/>
  <c r="F43" i="2"/>
  <c r="F42" i="2"/>
  <c r="F41" i="2"/>
  <c r="G41" i="2" s="1"/>
  <c r="F40" i="2"/>
  <c r="F39" i="2"/>
  <c r="F35" i="2"/>
  <c r="F33" i="2"/>
  <c r="G33" i="2" s="1"/>
  <c r="F32" i="2"/>
  <c r="G32" i="2" s="1"/>
  <c r="F13" i="2"/>
  <c r="G13" i="2" s="1"/>
  <c r="F14" i="2"/>
  <c r="G14" i="2" s="1"/>
  <c r="F15" i="2"/>
  <c r="F16" i="2"/>
  <c r="F23" i="2"/>
  <c r="F24" i="2"/>
  <c r="F26" i="2"/>
  <c r="F27" i="2"/>
  <c r="F28" i="2"/>
  <c r="F29" i="2"/>
  <c r="F12" i="2"/>
  <c r="G12" i="2" s="1"/>
  <c r="A133" i="2"/>
  <c r="A132" i="2"/>
  <c r="A131" i="2"/>
  <c r="A130" i="2"/>
  <c r="A129" i="2"/>
  <c r="A128" i="2"/>
  <c r="A127" i="2"/>
  <c r="O124" i="2"/>
  <c r="O133" i="2" s="1"/>
  <c r="M124" i="2"/>
  <c r="M133" i="2" s="1"/>
  <c r="K124" i="2"/>
  <c r="K133" i="2" s="1"/>
  <c r="I124" i="2"/>
  <c r="I133" i="2" s="1"/>
  <c r="G124" i="2"/>
  <c r="G133" i="2" s="1"/>
  <c r="O119" i="2"/>
  <c r="O132" i="2" s="1"/>
  <c r="M119" i="2"/>
  <c r="M132" i="2" s="1"/>
  <c r="K119" i="2"/>
  <c r="K132" i="2" s="1"/>
  <c r="I119" i="2"/>
  <c r="I132" i="2" s="1"/>
  <c r="G119" i="2"/>
  <c r="G132" i="2" s="1"/>
  <c r="M107" i="2"/>
  <c r="M106" i="2"/>
  <c r="M105" i="2"/>
  <c r="M104" i="2"/>
  <c r="K104" i="2"/>
  <c r="K111" i="2" s="1"/>
  <c r="M93" i="2"/>
  <c r="M89" i="2"/>
  <c r="M85" i="2"/>
  <c r="M84" i="2"/>
  <c r="M81" i="2"/>
  <c r="M56" i="2"/>
  <c r="M54" i="2"/>
  <c r="M53" i="2"/>
  <c r="M52" i="2"/>
  <c r="M51" i="2"/>
  <c r="M50" i="2"/>
  <c r="M49" i="2"/>
  <c r="M48" i="2"/>
  <c r="M41" i="2"/>
  <c r="M35" i="2"/>
  <c r="M33" i="2"/>
  <c r="M32" i="2"/>
  <c r="M23" i="2"/>
  <c r="M14" i="2"/>
  <c r="M13" i="2"/>
  <c r="M12" i="2"/>
  <c r="O111" i="2" l="1"/>
  <c r="G60" i="2"/>
  <c r="G129" i="2" s="1"/>
  <c r="I60" i="2"/>
  <c r="I129" i="2" s="1"/>
  <c r="O60" i="2"/>
  <c r="O129" i="2" s="1"/>
  <c r="M111" i="2"/>
  <c r="M131" i="2" s="1"/>
  <c r="K46" i="2"/>
  <c r="K128" i="2" s="1"/>
  <c r="M46" i="2"/>
  <c r="M128" i="2" s="1"/>
  <c r="M60" i="2"/>
  <c r="M129" i="2" s="1"/>
  <c r="K131" i="2"/>
  <c r="K30" i="2"/>
  <c r="K127" i="2" s="1"/>
  <c r="M102" i="2"/>
  <c r="M130" i="2" s="1"/>
  <c r="K129" i="2"/>
  <c r="K102" i="2"/>
  <c r="K130" i="2" s="1"/>
  <c r="O131" i="2"/>
  <c r="M30" i="2"/>
  <c r="M127" i="2" s="1"/>
  <c r="I131" i="2"/>
  <c r="O46" i="2"/>
  <c r="O128" i="2" s="1"/>
  <c r="O30" i="2"/>
  <c r="O127" i="2" s="1"/>
  <c r="I102" i="2"/>
  <c r="I130" i="2" s="1"/>
  <c r="I46" i="2"/>
  <c r="I128" i="2" s="1"/>
  <c r="I30" i="2"/>
  <c r="I127" i="2" s="1"/>
  <c r="G131" i="2"/>
  <c r="G102" i="2"/>
  <c r="G130" i="2" s="1"/>
  <c r="G46" i="2"/>
  <c r="G128" i="2" s="1"/>
  <c r="G30" i="2"/>
  <c r="G127" i="2" s="1"/>
  <c r="M69" i="1"/>
  <c r="M20" i="1"/>
  <c r="K69" i="1"/>
  <c r="K20" i="1"/>
  <c r="G69" i="1"/>
  <c r="G20" i="1"/>
  <c r="W58" i="1"/>
  <c r="U58" i="1"/>
  <c r="S58" i="1"/>
  <c r="Q58" i="1"/>
  <c r="O58" i="1"/>
  <c r="M58" i="1"/>
  <c r="K58" i="1"/>
  <c r="G58" i="1"/>
  <c r="K135" i="2" l="1"/>
  <c r="K136" i="2" s="1"/>
  <c r="K137" i="2" s="1"/>
  <c r="M135" i="2"/>
  <c r="M136" i="2" s="1"/>
  <c r="M137" i="2" s="1"/>
  <c r="G135" i="2"/>
  <c r="G136" i="2" s="1"/>
  <c r="G137" i="2" s="1"/>
  <c r="I135" i="2"/>
  <c r="I90" i="1"/>
  <c r="I103" i="1" s="1"/>
  <c r="I81" i="1"/>
  <c r="I80" i="1"/>
  <c r="I79" i="1"/>
  <c r="I78" i="1"/>
  <c r="I68" i="1"/>
  <c r="I66" i="1"/>
  <c r="I62" i="1"/>
  <c r="I61" i="1"/>
  <c r="I58" i="1"/>
  <c r="I49" i="1"/>
  <c r="I47" i="1"/>
  <c r="I46" i="1"/>
  <c r="I45" i="1"/>
  <c r="I44" i="1"/>
  <c r="I43" i="1"/>
  <c r="I42" i="1"/>
  <c r="I41" i="1"/>
  <c r="I34" i="1"/>
  <c r="I31" i="1"/>
  <c r="I30" i="1"/>
  <c r="I29" i="1"/>
  <c r="I19" i="1"/>
  <c r="I14" i="1"/>
  <c r="I13" i="1"/>
  <c r="I12" i="1"/>
  <c r="W90" i="1"/>
  <c r="W103" i="1" s="1"/>
  <c r="W81" i="1"/>
  <c r="W80" i="1"/>
  <c r="W79" i="1"/>
  <c r="W78" i="1"/>
  <c r="W68" i="1"/>
  <c r="W66" i="1"/>
  <c r="W62" i="1"/>
  <c r="W61" i="1"/>
  <c r="W49" i="1"/>
  <c r="W47" i="1"/>
  <c r="W46" i="1"/>
  <c r="W45" i="1"/>
  <c r="W44" i="1"/>
  <c r="W43" i="1"/>
  <c r="W42" i="1"/>
  <c r="W41" i="1"/>
  <c r="W34" i="1"/>
  <c r="W31" i="1"/>
  <c r="W30" i="1"/>
  <c r="W29" i="1"/>
  <c r="W19" i="1"/>
  <c r="W14" i="1"/>
  <c r="W13" i="1"/>
  <c r="W12" i="1"/>
  <c r="G90" i="1"/>
  <c r="G103" i="1" s="1"/>
  <c r="G81" i="1"/>
  <c r="G80" i="1"/>
  <c r="G79" i="1"/>
  <c r="G78" i="1"/>
  <c r="G66" i="1"/>
  <c r="G62" i="1"/>
  <c r="G61" i="1"/>
  <c r="G49" i="1"/>
  <c r="G47" i="1"/>
  <c r="G46" i="1"/>
  <c r="G45" i="1"/>
  <c r="G44" i="1"/>
  <c r="G42" i="1"/>
  <c r="G41" i="1"/>
  <c r="G34" i="1"/>
  <c r="G31" i="1"/>
  <c r="G30" i="1"/>
  <c r="G29" i="1"/>
  <c r="G14" i="1"/>
  <c r="G13" i="1"/>
  <c r="G12" i="1"/>
  <c r="Q90" i="1"/>
  <c r="Q103" i="1" s="1"/>
  <c r="Q81" i="1"/>
  <c r="Q80" i="1"/>
  <c r="Q79" i="1"/>
  <c r="Q78" i="1"/>
  <c r="Q68" i="1"/>
  <c r="Q66" i="1"/>
  <c r="Q62" i="1"/>
  <c r="Q61" i="1"/>
  <c r="Q49" i="1"/>
  <c r="Q47" i="1"/>
  <c r="Q46" i="1"/>
  <c r="Q45" i="1"/>
  <c r="Q44" i="1"/>
  <c r="Q43" i="1"/>
  <c r="Q42" i="1"/>
  <c r="Q41" i="1"/>
  <c r="Q34" i="1"/>
  <c r="Q31" i="1"/>
  <c r="Q30" i="1"/>
  <c r="Q29" i="1"/>
  <c r="Q19" i="1"/>
  <c r="Q14" i="1"/>
  <c r="Q13" i="1"/>
  <c r="Q12" i="1"/>
  <c r="M90" i="1"/>
  <c r="M103" i="1" s="1"/>
  <c r="M81" i="1"/>
  <c r="M80" i="1"/>
  <c r="M79" i="1"/>
  <c r="M78" i="1"/>
  <c r="M66" i="1"/>
  <c r="M62" i="1"/>
  <c r="M61" i="1"/>
  <c r="M49" i="1"/>
  <c r="M47" i="1"/>
  <c r="M46" i="1"/>
  <c r="M45" i="1"/>
  <c r="M44" i="1"/>
  <c r="M43" i="1"/>
  <c r="M42" i="1"/>
  <c r="M41" i="1"/>
  <c r="M34" i="1"/>
  <c r="M31" i="1"/>
  <c r="M30" i="1"/>
  <c r="M29" i="1"/>
  <c r="M14" i="1"/>
  <c r="M13" i="1"/>
  <c r="M12" i="1"/>
  <c r="U90" i="1"/>
  <c r="U103" i="1" s="1"/>
  <c r="U81" i="1"/>
  <c r="U80" i="1"/>
  <c r="U79" i="1"/>
  <c r="U78" i="1"/>
  <c r="U68" i="1"/>
  <c r="U66" i="1"/>
  <c r="U62" i="1"/>
  <c r="U61" i="1"/>
  <c r="U49" i="1"/>
  <c r="U47" i="1"/>
  <c r="U46" i="1"/>
  <c r="U45" i="1"/>
  <c r="U44" i="1"/>
  <c r="U43" i="1"/>
  <c r="U42" i="1"/>
  <c r="U41" i="1"/>
  <c r="U34" i="1"/>
  <c r="U31" i="1"/>
  <c r="U30" i="1"/>
  <c r="U29" i="1"/>
  <c r="U19" i="1"/>
  <c r="U14" i="1"/>
  <c r="U13" i="1"/>
  <c r="U12" i="1"/>
  <c r="S90" i="1"/>
  <c r="S103" i="1" s="1"/>
  <c r="S81" i="1"/>
  <c r="S80" i="1"/>
  <c r="S79" i="1"/>
  <c r="S78" i="1"/>
  <c r="S68" i="1"/>
  <c r="S66" i="1"/>
  <c r="S62" i="1"/>
  <c r="S61" i="1"/>
  <c r="S49" i="1"/>
  <c r="S47" i="1"/>
  <c r="S46" i="1"/>
  <c r="S45" i="1"/>
  <c r="S44" i="1"/>
  <c r="S43" i="1"/>
  <c r="S42" i="1"/>
  <c r="S41" i="1"/>
  <c r="S34" i="1"/>
  <c r="S31" i="1"/>
  <c r="S30" i="1"/>
  <c r="S29" i="1"/>
  <c r="S19" i="1"/>
  <c r="S14" i="1"/>
  <c r="S13" i="1"/>
  <c r="S12" i="1"/>
  <c r="O90" i="1"/>
  <c r="O103" i="1" s="1"/>
  <c r="O81" i="1"/>
  <c r="O80" i="1"/>
  <c r="O78" i="1"/>
  <c r="O68" i="1"/>
  <c r="O66" i="1"/>
  <c r="O62" i="1"/>
  <c r="O61" i="1"/>
  <c r="O49" i="1"/>
  <c r="O47" i="1"/>
  <c r="O45" i="1"/>
  <c r="O44" i="1"/>
  <c r="O42" i="1"/>
  <c r="O41" i="1"/>
  <c r="O34" i="1"/>
  <c r="O31" i="1"/>
  <c r="O30" i="1"/>
  <c r="O29" i="1"/>
  <c r="O19" i="1"/>
  <c r="O14" i="1"/>
  <c r="O13" i="1"/>
  <c r="O12" i="1"/>
  <c r="K90" i="1"/>
  <c r="K103" i="1" s="1"/>
  <c r="K81" i="1"/>
  <c r="K80" i="1"/>
  <c r="K79" i="1"/>
  <c r="K78" i="1"/>
  <c r="K66" i="1"/>
  <c r="K62" i="1"/>
  <c r="K61" i="1"/>
  <c r="K49" i="1"/>
  <c r="K47" i="1"/>
  <c r="K46" i="1"/>
  <c r="K45" i="1"/>
  <c r="K44" i="1"/>
  <c r="K43" i="1"/>
  <c r="K42" i="1"/>
  <c r="K41" i="1"/>
  <c r="K31" i="1"/>
  <c r="K30" i="1"/>
  <c r="K29" i="1"/>
  <c r="K14" i="1"/>
  <c r="K13" i="1"/>
  <c r="K12" i="1"/>
  <c r="A104" i="1"/>
  <c r="A103" i="1"/>
  <c r="A102" i="1"/>
  <c r="A101" i="1"/>
  <c r="A100" i="1"/>
  <c r="A99" i="1"/>
  <c r="A98" i="1"/>
  <c r="K95" i="1" l="1"/>
  <c r="K104" i="1" s="1"/>
  <c r="K82" i="1"/>
  <c r="K102" i="1" s="1"/>
  <c r="U95" i="1"/>
  <c r="U104" i="1" s="1"/>
  <c r="U27" i="1"/>
  <c r="U98" i="1" s="1"/>
  <c r="U82" i="1"/>
  <c r="U102" i="1" s="1"/>
  <c r="O76" i="1"/>
  <c r="O101" i="1" s="1"/>
  <c r="I27" i="1"/>
  <c r="I98" i="1" s="1"/>
  <c r="M95" i="1"/>
  <c r="M104" i="1" s="1"/>
  <c r="W27" i="1"/>
  <c r="W98" i="1" s="1"/>
  <c r="W82" i="1"/>
  <c r="W102" i="1" s="1"/>
  <c r="O50" i="1"/>
  <c r="O100" i="1" s="1"/>
  <c r="G27" i="1"/>
  <c r="G98" i="1" s="1"/>
  <c r="G82" i="1"/>
  <c r="G102" i="1" s="1"/>
  <c r="U76" i="1"/>
  <c r="U101" i="1" s="1"/>
  <c r="O39" i="1"/>
  <c r="O99" i="1" s="1"/>
  <c r="O95" i="1"/>
  <c r="O104" i="1" s="1"/>
  <c r="S76" i="1"/>
  <c r="S101" i="1" s="1"/>
  <c r="S95" i="1"/>
  <c r="S104" i="1" s="1"/>
  <c r="M82" i="1"/>
  <c r="M102" i="1" s="1"/>
  <c r="S27" i="1"/>
  <c r="S98" i="1" s="1"/>
  <c r="W95" i="1"/>
  <c r="W104" i="1" s="1"/>
  <c r="I95" i="1"/>
  <c r="I104" i="1" s="1"/>
  <c r="I82" i="1"/>
  <c r="I102" i="1" s="1"/>
  <c r="I76" i="1"/>
  <c r="I101" i="1" s="1"/>
  <c r="I39" i="1"/>
  <c r="I99" i="1" s="1"/>
  <c r="I50" i="1"/>
  <c r="I100" i="1" s="1"/>
  <c r="W50" i="1"/>
  <c r="W100" i="1" s="1"/>
  <c r="G76" i="1"/>
  <c r="G101" i="1" s="1"/>
  <c r="W76" i="1"/>
  <c r="W101" i="1" s="1"/>
  <c r="G50" i="1"/>
  <c r="G100" i="1" s="1"/>
  <c r="W39" i="1"/>
  <c r="W99" i="1" s="1"/>
  <c r="G39" i="1"/>
  <c r="G99" i="1" s="1"/>
  <c r="G95" i="1"/>
  <c r="G104" i="1" s="1"/>
  <c r="Q27" i="1"/>
  <c r="Q98" i="1" s="1"/>
  <c r="Q50" i="1"/>
  <c r="Q100" i="1" s="1"/>
  <c r="Q76" i="1"/>
  <c r="Q101" i="1" s="1"/>
  <c r="Q82" i="1"/>
  <c r="Q102" i="1" s="1"/>
  <c r="M76" i="1"/>
  <c r="M101" i="1" s="1"/>
  <c r="M27" i="1"/>
  <c r="M98" i="1" s="1"/>
  <c r="Q39" i="1"/>
  <c r="Q99" i="1" s="1"/>
  <c r="M50" i="1"/>
  <c r="M100" i="1" s="1"/>
  <c r="M39" i="1"/>
  <c r="M99" i="1" s="1"/>
  <c r="Q95" i="1"/>
  <c r="Q104" i="1" s="1"/>
  <c r="U50" i="1"/>
  <c r="U100" i="1" s="1"/>
  <c r="U39" i="1"/>
  <c r="U99" i="1" s="1"/>
  <c r="S82" i="1"/>
  <c r="S102" i="1" s="1"/>
  <c r="S50" i="1"/>
  <c r="S100" i="1" s="1"/>
  <c r="S39" i="1"/>
  <c r="S99" i="1" s="1"/>
  <c r="O82" i="1"/>
  <c r="O102" i="1" s="1"/>
  <c r="O27" i="1"/>
  <c r="O98" i="1" s="1"/>
  <c r="K39" i="1"/>
  <c r="K99" i="1" s="1"/>
  <c r="K27" i="1"/>
  <c r="K98" i="1" s="1"/>
  <c r="K50" i="1"/>
  <c r="K100" i="1" s="1"/>
  <c r="K76" i="1"/>
  <c r="K101" i="1" s="1"/>
  <c r="I106" i="1" l="1"/>
  <c r="I107" i="1" s="1"/>
  <c r="I108" i="1" s="1"/>
  <c r="M106" i="1"/>
  <c r="M107" i="1" s="1"/>
  <c r="M108" i="1" s="1"/>
  <c r="O106" i="1"/>
  <c r="O107" i="1" s="1"/>
  <c r="O108" i="1" s="1"/>
  <c r="Q106" i="1"/>
  <c r="Q107" i="1" s="1"/>
  <c r="Q108" i="1" s="1"/>
  <c r="S106" i="1"/>
  <c r="S107" i="1" s="1"/>
  <c r="S108" i="1" s="1"/>
  <c r="W106" i="1"/>
  <c r="W107" i="1" s="1"/>
  <c r="W108" i="1" s="1"/>
  <c r="U106" i="1"/>
  <c r="U107" i="1" s="1"/>
  <c r="U108" i="1" s="1"/>
  <c r="G106" i="1"/>
  <c r="K106" i="1"/>
  <c r="K107" i="1" s="1"/>
  <c r="K108" i="1" s="1"/>
  <c r="G107" i="1" l="1"/>
  <c r="G108" i="1" s="1"/>
  <c r="O102" i="2"/>
  <c r="O130" i="2" s="1"/>
  <c r="O135" i="2" l="1"/>
  <c r="O136" i="2" s="1"/>
  <c r="O137" i="2" s="1"/>
</calcChain>
</file>

<file path=xl/sharedStrings.xml><?xml version="1.0" encoding="utf-8"?>
<sst xmlns="http://schemas.openxmlformats.org/spreadsheetml/2006/main" count="1459" uniqueCount="222">
  <si>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</si>
  <si>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</si>
  <si>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</si>
  <si>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</si>
  <si>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</si>
  <si>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</si>
  <si>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</si>
  <si>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</si>
  <si>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</si>
  <si>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</si>
  <si>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</si>
  <si>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</si>
  <si>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</si>
  <si>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</si>
  <si>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</si>
  <si>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</si>
  <si>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</si>
  <si>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>20006551 Offenbach, LEIQ</t>
  </si>
  <si>
    <t>Bodenbelag</t>
  </si>
  <si>
    <t>01.01.</t>
  </si>
  <si>
    <t>01.01.01.</t>
  </si>
  <si>
    <t>01.01.01.010</t>
  </si>
  <si>
    <t>01.01.01.020</t>
  </si>
  <si>
    <t>01.01.01.030</t>
  </si>
  <si>
    <t>01.01.01.040</t>
  </si>
  <si>
    <t>01.01.01.050</t>
  </si>
  <si>
    <t>01.01.01.060</t>
  </si>
  <si>
    <t>01.01.01.070</t>
  </si>
  <si>
    <t>01.01.01.080</t>
  </si>
  <si>
    <t>01.01.01.090</t>
  </si>
  <si>
    <t>01.01.01.100</t>
  </si>
  <si>
    <t>01.01.01.110</t>
  </si>
  <si>
    <t>01.01.02.</t>
  </si>
  <si>
    <t>01.01.02.010</t>
  </si>
  <si>
    <t>01.01.02.020</t>
  </si>
  <si>
    <t>01.01.02.030</t>
  </si>
  <si>
    <t>01.01.02.040</t>
  </si>
  <si>
    <t>01.01.02.050</t>
  </si>
  <si>
    <t>01.01.02.060</t>
  </si>
  <si>
    <t>01.01.02.070</t>
  </si>
  <si>
    <t>01.01.02.080</t>
  </si>
  <si>
    <t>01.01.02.090</t>
  </si>
  <si>
    <t>01.01.02.100</t>
  </si>
  <si>
    <t>01.01.03.</t>
  </si>
  <si>
    <t>01.01.03.010</t>
  </si>
  <si>
    <t>01.01.03.020</t>
  </si>
  <si>
    <t>01.01.03.030</t>
  </si>
  <si>
    <t>01.01.03.040</t>
  </si>
  <si>
    <t>01.01.03.050</t>
  </si>
  <si>
    <t>01.01.03.060</t>
  </si>
  <si>
    <t>01.01.03.070</t>
  </si>
  <si>
    <t>01.01.03.080</t>
  </si>
  <si>
    <t>01.01.03.090</t>
  </si>
  <si>
    <t>01.01.04.</t>
  </si>
  <si>
    <t>01.01.04.010</t>
  </si>
  <si>
    <t>01.01.04.020</t>
  </si>
  <si>
    <t>01.01.04.030</t>
  </si>
  <si>
    <t>01.01.04.040</t>
  </si>
  <si>
    <t>01.01.04.050</t>
  </si>
  <si>
    <t>01.01.04.060</t>
  </si>
  <si>
    <t>01.02.</t>
  </si>
  <si>
    <t>01.02.01.</t>
  </si>
  <si>
    <t>01.02.01.010</t>
  </si>
  <si>
    <t>01.02.01.020</t>
  </si>
  <si>
    <t>01.02.01.030</t>
  </si>
  <si>
    <t>01.02.01.040</t>
  </si>
  <si>
    <t>01.02.01.050</t>
  </si>
  <si>
    <t>01.02.01.060</t>
  </si>
  <si>
    <t>01.02.01.070</t>
  </si>
  <si>
    <t>01.02.01.080</t>
  </si>
  <si>
    <t>01.02.01.090</t>
  </si>
  <si>
    <t>01.02.01.100</t>
  </si>
  <si>
    <t>01.02.01.110</t>
  </si>
  <si>
    <t>01.02.02.</t>
  </si>
  <si>
    <t>01.02.02.010</t>
  </si>
  <si>
    <t>01.02.02.020</t>
  </si>
  <si>
    <t>01.02.02.030</t>
  </si>
  <si>
    <t>01.02.02.040</t>
  </si>
  <si>
    <t>01.02.03.</t>
  </si>
  <si>
    <t>01.02.03.010</t>
  </si>
  <si>
    <t>01.02.03.020</t>
  </si>
  <si>
    <t>01.02.03.030</t>
  </si>
  <si>
    <t>01.02.03.040</t>
  </si>
  <si>
    <t>01.02.03.050</t>
  </si>
  <si>
    <t>01.02.03.060</t>
  </si>
  <si>
    <t>01.03.01.</t>
  </si>
  <si>
    <t>01.03.01.010</t>
  </si>
  <si>
    <t>01.03.01.020</t>
  </si>
  <si>
    <t>01.03.01.030</t>
  </si>
  <si>
    <t>Bo,XA</t>
  </si>
  <si>
    <t>Bodenbelagsarbeiten Bauteil A</t>
  </si>
  <si>
    <t>Teppichboden</t>
  </si>
  <si>
    <t>Untergrund vorbereiten, grundieren, Ausgleichsmasse,  Hohlraumboden</t>
  </si>
  <si>
    <t>Textilbelag, Fliesen, Schlinge, getuftet, synthetisch, 50x50cm, Touch
&amp; Tones 102</t>
  </si>
  <si>
    <t>Zulage, Akustikrücken, T&amp;T II 101 ReCushionbac</t>
  </si>
  <si>
    <t>Zulage, Akustikrücken, T&amp;T II 102 ReCushionbac</t>
  </si>
  <si>
    <t>Aussparung, Bodentanks im Teppich-Belag, b=250mm</t>
  </si>
  <si>
    <t>Aussparung Revisionsöffnung, 600/600 mm, mit Teppich belegen</t>
  </si>
  <si>
    <t>Sockelleiste, Textilbelag, gekettelt, h=50 mm, geklebt</t>
  </si>
  <si>
    <t>Sockelleiste, Textilbelag, gekettelt, h=70 mm, geklebt</t>
  </si>
  <si>
    <t>Übergangsprofil für Belag, Aluminium eloxiert, b=30 mm</t>
  </si>
  <si>
    <t>Übergangsprofil für Belag, Messing, b=30mm</t>
  </si>
  <si>
    <t>Vinyl Fußbodenbelag</t>
  </si>
  <si>
    <t>Fußbodenbelag, Vinyl, elastisch, d=4,5 mm, 50x50 cm,</t>
  </si>
  <si>
    <t>Sockelleiste, PVC-weich, 50 mm</t>
  </si>
  <si>
    <t>Sockelleiste, Vinyl, Holzfaserkern, 50mm</t>
  </si>
  <si>
    <t>Sockelleiste, Vinyl, auf MDF, 50 mm</t>
  </si>
  <si>
    <t>Erstpflege Vinyl-Bodenbelag und Sockelleisten</t>
  </si>
  <si>
    <t>Übergangsprofil, unter Türen</t>
  </si>
  <si>
    <t>Untergrund ausgleichen, 3-5mm, Übergangsbereich
Vinylboden/Teppichboden</t>
  </si>
  <si>
    <t>Zulage, elastische Dämmunterlage, Höhenausgleich, d=3mm</t>
  </si>
  <si>
    <t>Zulage, elastische Dämmunterlage, Höhenausgleich, d=4mm</t>
  </si>
  <si>
    <t>Kautschuk-Bodenbelag</t>
  </si>
  <si>
    <t>Untergrund vorbereiten, grundieren, Ausgleichsmasse, Estrich</t>
  </si>
  <si>
    <t>Untergrund vorbereiten, grundieren, Ausgleichsmasse, Hohlraumboden</t>
  </si>
  <si>
    <t>Untergrund vorbereiten, grundieren, Doppelboden</t>
  </si>
  <si>
    <t>Kautschukbelag, synthetisch, Noppen, 50/50cm, 3mm</t>
  </si>
  <si>
    <t>Kautschukbelag, synthetisch, Noppen, 50/50cm, 2mm</t>
  </si>
  <si>
    <t>Kautschukbelag, syntethisch, Noppen, 50/50cm, 3mm, ableitfähig</t>
  </si>
  <si>
    <t>Kautschukbelag, syntethisch, Noppen, 50/50cm, 5mm, ableitfähig</t>
  </si>
  <si>
    <t>Linoleum-Belag, 5 mm, ableitfähig, 50x50 cm</t>
  </si>
  <si>
    <t>Sockelleiste, Kautschuk, synthethisch, 50 mm</t>
  </si>
  <si>
    <t>Sonstiges</t>
  </si>
  <si>
    <t>Trennschiene, Aluminium, h=5mm</t>
  </si>
  <si>
    <t>Risse/Arbeitsfugen schließen, Estrich</t>
  </si>
  <si>
    <t>Risse/Arbeitsfugen schließen, Estrich, Verdübelung</t>
  </si>
  <si>
    <t>Feuchtigkeitsmessung</t>
  </si>
  <si>
    <t>Absperren Restfeuchte</t>
  </si>
  <si>
    <t>Schutzabdeckung Bodenbelag</t>
  </si>
  <si>
    <t>Bodenbelagsarbeiten Bauteil B</t>
  </si>
  <si>
    <t>Kautschukbelag, synthetisch, 50/50cm, 3mm, R10, Teeküchen</t>
  </si>
  <si>
    <t>Stundenlohnarbeiten</t>
  </si>
  <si>
    <t>Stundensatz Vorarbeiter, Bodenbelagsarbeiten</t>
  </si>
  <si>
    <t>Stundensatz Fachwerker, Bodenbelagsarbeiten</t>
  </si>
  <si>
    <t>Stundensatz Helfer, Bodenbelagsarbeiten</t>
  </si>
  <si>
    <t>m²</t>
  </si>
  <si>
    <t>St</t>
  </si>
  <si>
    <t>m</t>
  </si>
  <si>
    <t>h</t>
  </si>
  <si>
    <t>Titelzusammenstellung</t>
  </si>
  <si>
    <t>Nettosumme [€]</t>
  </si>
  <si>
    <t>Nachlass</t>
  </si>
  <si>
    <t>Gesamtsumme netto [€]</t>
  </si>
  <si>
    <t>NEP</t>
  </si>
  <si>
    <t>FBZ</t>
  </si>
  <si>
    <t>069-782964</t>
  </si>
  <si>
    <t>Wellhöfer</t>
  </si>
  <si>
    <t>069-95094880</t>
  </si>
  <si>
    <t>Straehuber</t>
  </si>
  <si>
    <t>06171-6941210</t>
  </si>
  <si>
    <t>06204-6082354</t>
  </si>
  <si>
    <t>Centerra</t>
  </si>
  <si>
    <t>Rose</t>
  </si>
  <si>
    <t>06441-5290120</t>
  </si>
  <si>
    <t>Böhmler</t>
  </si>
  <si>
    <t>069-366012172</t>
  </si>
  <si>
    <t>Akbo</t>
  </si>
  <si>
    <t>06151-1590050</t>
  </si>
  <si>
    <t>Sybotec</t>
  </si>
  <si>
    <t>09355-9705840</t>
  </si>
  <si>
    <t>Nidda, den</t>
  </si>
  <si>
    <t>Sockelleiste, Textilbelag, gekettelt, h=50 mm, geklebt, zu Fabr. Dolomite</t>
  </si>
  <si>
    <t xml:space="preserve">Sockelleiste, Textilbelag, gekettelt, h=50 mm, geklebt, </t>
  </si>
  <si>
    <t>k. Angebot</t>
  </si>
  <si>
    <t xml:space="preserve">nicht möglich </t>
  </si>
  <si>
    <t>Siehe Angebot!</t>
  </si>
  <si>
    <t>Sockelleiste, Textilbelag, gekettelt, h=50 mm, geklebt zu Fabr. touch&amp;tones</t>
  </si>
  <si>
    <t>nicht notwendig</t>
  </si>
  <si>
    <t>bauseits</t>
  </si>
  <si>
    <t>Budget 1.050.000,00</t>
  </si>
  <si>
    <t>66 Mio</t>
  </si>
  <si>
    <t>6.641 Mio</t>
  </si>
  <si>
    <r>
      <t xml:space="preserve">Textilbelag, Fliesen, Schlinge, getuftet, synthetisch, 50x50cm, </t>
    </r>
    <r>
      <rPr>
        <u/>
        <sz val="11"/>
        <color rgb="FFFF0000"/>
        <rFont val="Arial"/>
        <family val="2"/>
      </rPr>
      <t>Dolomite</t>
    </r>
  </si>
  <si>
    <t>?</t>
  </si>
  <si>
    <t>3.5 Mio</t>
  </si>
  <si>
    <t>Sockelleiste, Textilbelag, gekettelt, h=70 mm, geklebt, zu Fabr. Dolomite</t>
  </si>
  <si>
    <t>Sockelleiste, Textilbelag, gekettelt, h=70 mm, geklebt zu Fabr. touch&amp;tones</t>
  </si>
  <si>
    <t>01.01.01.080A</t>
  </si>
  <si>
    <t>Sockelleiste, Vollholz, weiß, 60 mm</t>
  </si>
  <si>
    <t>01.01.02.030A</t>
  </si>
  <si>
    <t>01.01.03.090A</t>
  </si>
  <si>
    <t>01.02.01.080A</t>
  </si>
  <si>
    <t>01.02.02.040A</t>
  </si>
  <si>
    <t>nEP</t>
  </si>
  <si>
    <t>entfällt</t>
  </si>
  <si>
    <t>Aussparung, Bodentanks im Teppich-Belag, Du 305 mm, RUND!</t>
  </si>
  <si>
    <t>m2</t>
  </si>
  <si>
    <t>aus Titel 01.01.03 (Kautschukbelag)</t>
  </si>
  <si>
    <t>Silkonfuge, Übergang Vinyl zu PR- Fassade</t>
  </si>
  <si>
    <t>lfdm</t>
  </si>
  <si>
    <t>Türzargen im Bereich des Vinyl - Belages, Dichtstofffuge</t>
  </si>
  <si>
    <t>Sockelleiste,Vollholz, weiß, folienummantelt</t>
  </si>
  <si>
    <t>Acrylfuge zw. Sockel und Wand</t>
  </si>
  <si>
    <t>Z1</t>
  </si>
  <si>
    <t>Z2</t>
  </si>
  <si>
    <t>Z3</t>
  </si>
  <si>
    <t>Z4</t>
  </si>
  <si>
    <t>Silikonfuge Zw. Sockel und Boden</t>
  </si>
  <si>
    <t>Z5</t>
  </si>
  <si>
    <t>Z6</t>
  </si>
  <si>
    <t>Z7</t>
  </si>
  <si>
    <t>Z8</t>
  </si>
  <si>
    <t>Z9</t>
  </si>
  <si>
    <t>Z10</t>
  </si>
  <si>
    <t>Z11</t>
  </si>
  <si>
    <t>Z12</t>
  </si>
  <si>
    <t>Interface Dolomite 50*50, Reserve</t>
  </si>
  <si>
    <t>Interface touch &amp; tones 50*50, Reserve; Fb. 4175073- Carbon</t>
  </si>
  <si>
    <t>Interface touch &amp; tones 50*50, Reserve; Fb. 4175083- Gold</t>
  </si>
  <si>
    <t>Interface touch &amp; tones 50*50, Reserve; Fb. 4175072- Coffee</t>
  </si>
  <si>
    <t>Interface touch &amp; tones 50*50, Reserve; Fb. 4175080- Petrol</t>
  </si>
  <si>
    <t>Interface touch &amp; tones 50*50, Reserve; Fb. 4175084- Garnet</t>
  </si>
  <si>
    <t>Interface touch &amp; tones 50*50, Reserve; Fb. 4175078- Olive</t>
  </si>
  <si>
    <t>Sockelleiste, MDF- Kern, 13*60 mm</t>
  </si>
  <si>
    <t>Vinyl 50*50</t>
  </si>
  <si>
    <t>Preisbindung bis 31.08.2022</t>
  </si>
  <si>
    <t>Preisbindung bis 31.12.2022</t>
  </si>
  <si>
    <t>Schutzabdeckung Bodenbelag, ohne Aufnehmen und Entsorgung</t>
  </si>
  <si>
    <t>NEP?</t>
  </si>
  <si>
    <t>Schutzabdeckung Bodenbelag incl. Aufnehmen und Entsorgung</t>
  </si>
  <si>
    <t>telef. Herr Mönke</t>
  </si>
  <si>
    <t>1 % zusätzlicher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</si>
</sst>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u/>
      <sz val="11"/>
      <color rgb="FFFF000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45">
    <xf numFmtId="0" fontId="0" fillId="0" borderId="0" xfId="0"/>
    <xf numFmtId="0" fontId="6" fillId="0" borderId="1" xfId="0" applyFont="1" applyBorder="1"/>
    <xf numFmtId="0" fontId="7" fillId="0" borderId="2" xfId="0" applyFont="1" applyBorder="1"/>
    <xf numFmtId="0" fontId="6" fillId="2" borderId="1" xfId="0" applyNumberFormat="1" applyFont="1" applyFill="1" applyBorder="1"/>
    <xf numFmtId="0" fontId="6" fillId="2" borderId="3" xfId="0" applyNumberFormat="1" applyFont="1" applyFill="1" applyBorder="1"/>
    <xf numFmtId="0" fontId="6" fillId="0" borderId="4" xfId="0" applyFont="1" applyBorder="1"/>
    <xf numFmtId="0" fontId="7" fillId="0" borderId="0" xfId="0" applyFont="1" applyBorder="1"/>
    <xf numFmtId="0" fontId="6" fillId="0" borderId="4" xfId="0" applyNumberFormat="1" applyFont="1" applyBorder="1"/>
    <xf numFmtId="0" fontId="6" fillId="0" borderId="5" xfId="0" applyNumberFormat="1" applyFont="1" applyBorder="1"/>
    <xf numFmtId="0" fontId="6" fillId="0" borderId="6" xfId="0" applyNumberFormat="1" applyFont="1" applyBorder="1"/>
    <xf numFmtId="0" fontId="7" fillId="0" borderId="4" xfId="0" applyFont="1" applyBorder="1"/>
    <xf numFmtId="0" fontId="8" fillId="0" borderId="4" xfId="0" applyNumberFormat="1" applyFont="1" applyBorder="1"/>
    <xf numFmtId="0" fontId="9" fillId="0" borderId="4" xfId="0" applyNumberFormat="1" applyFont="1" applyBorder="1"/>
    <xf numFmtId="0" fontId="9" fillId="0" borderId="5" xfId="0" applyNumberFormat="1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2" xfId="0" applyFont="1" applyBorder="1"/>
    <xf numFmtId="0" fontId="6" fillId="0" borderId="10" xfId="0" applyFont="1" applyBorder="1"/>
    <xf numFmtId="0" fontId="6" fillId="0" borderId="1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/>
    </xf>
    <xf numFmtId="14" fontId="6" fillId="0" borderId="5" xfId="0" applyNumberFormat="1" applyFont="1" applyBorder="1"/>
    <xf numFmtId="0" fontId="5" fillId="0" borderId="0" xfId="0" applyFont="1"/>
    <xf numFmtId="0" fontId="5" fillId="0" borderId="17" xfId="0" applyFont="1" applyBorder="1"/>
    <xf numFmtId="0" fontId="5" fillId="0" borderId="11" xfId="0" applyFont="1" applyBorder="1"/>
    <xf numFmtId="4" fontId="5" fillId="0" borderId="12" xfId="0" applyNumberFormat="1" applyFont="1" applyBorder="1"/>
    <xf numFmtId="4" fontId="5" fillId="0" borderId="0" xfId="0" applyNumberFormat="1" applyFont="1" applyBorder="1"/>
    <xf numFmtId="0" fontId="5" fillId="0" borderId="11" xfId="0" applyFont="1" applyBorder="1" applyAlignment="1">
      <alignment wrapText="1"/>
    </xf>
    <xf numFmtId="0" fontId="12" fillId="3" borderId="18" xfId="0" applyFont="1" applyFill="1" applyBorder="1"/>
    <xf numFmtId="0" fontId="12" fillId="3" borderId="9" xfId="0" applyFont="1" applyFill="1" applyBorder="1"/>
    <xf numFmtId="4" fontId="12" fillId="3" borderId="14" xfId="0" applyNumberFormat="1" applyFont="1" applyFill="1" applyBorder="1"/>
    <xf numFmtId="4" fontId="12" fillId="3" borderId="26" xfId="0" applyNumberFormat="1" applyFont="1" applyFill="1" applyBorder="1"/>
    <xf numFmtId="0" fontId="5" fillId="0" borderId="19" xfId="0" applyFont="1" applyBorder="1"/>
    <xf numFmtId="0" fontId="5" fillId="0" borderId="16" xfId="0" applyFont="1" applyBorder="1"/>
    <xf numFmtId="0" fontId="12" fillId="0" borderId="16" xfId="0" applyFont="1" applyBorder="1"/>
    <xf numFmtId="0" fontId="12" fillId="0" borderId="17" xfId="0" applyFont="1" applyBorder="1"/>
    <xf numFmtId="0" fontId="12" fillId="0" borderId="11" xfId="0" applyFont="1" applyBorder="1"/>
    <xf numFmtId="4" fontId="12" fillId="0" borderId="12" xfId="0" applyNumberFormat="1" applyFont="1" applyBorder="1"/>
    <xf numFmtId="4" fontId="12" fillId="0" borderId="0" xfId="0" applyNumberFormat="1" applyFont="1" applyBorder="1"/>
    <xf numFmtId="0" fontId="12" fillId="2" borderId="20" xfId="0" applyFont="1" applyFill="1" applyBorder="1"/>
    <xf numFmtId="0" fontId="12" fillId="2" borderId="21" xfId="0" applyFont="1" applyFill="1" applyBorder="1"/>
    <xf numFmtId="4" fontId="12" fillId="2" borderId="22" xfId="0" applyNumberFormat="1" applyFont="1" applyFill="1" applyBorder="1"/>
    <xf numFmtId="0" fontId="12" fillId="2" borderId="17" xfId="0" applyFont="1" applyFill="1" applyBorder="1"/>
    <xf numFmtId="0" fontId="12" fillId="2" borderId="11" xfId="0" applyFont="1" applyFill="1" applyBorder="1"/>
    <xf numFmtId="4" fontId="12" fillId="2" borderId="12" xfId="0" applyNumberFormat="1" applyFont="1" applyFill="1" applyBorder="1"/>
    <xf numFmtId="0" fontId="12" fillId="2" borderId="19" xfId="0" applyFont="1" applyFill="1" applyBorder="1"/>
    <xf numFmtId="0" fontId="12" fillId="2" borderId="16" xfId="0" applyFont="1" applyFill="1" applyBorder="1"/>
    <xf numFmtId="4" fontId="12" fillId="2" borderId="24" xfId="0" applyNumberFormat="1" applyFont="1" applyFill="1" applyBorder="1"/>
    <xf numFmtId="4" fontId="12" fillId="2" borderId="6" xfId="0" applyNumberFormat="1" applyFont="1" applyFill="1" applyBorder="1"/>
    <xf numFmtId="0" fontId="5" fillId="0" borderId="4" xfId="0" applyFont="1" applyBorder="1"/>
    <xf numFmtId="0" fontId="5" fillId="0" borderId="0" xfId="0" applyFont="1" applyBorder="1"/>
    <xf numFmtId="0" fontId="12" fillId="0" borderId="0" xfId="0" applyFont="1" applyFill="1" applyBorder="1"/>
    <xf numFmtId="0" fontId="13" fillId="0" borderId="0" xfId="0" applyFont="1" applyFill="1" applyBorder="1"/>
    <xf numFmtId="0" fontId="5" fillId="0" borderId="6" xfId="0" applyFont="1" applyBorder="1"/>
    <xf numFmtId="0" fontId="5" fillId="0" borderId="7" xfId="0" applyFont="1" applyBorder="1"/>
    <xf numFmtId="4" fontId="5" fillId="0" borderId="7" xfId="0" applyNumberFormat="1" applyFont="1" applyBorder="1"/>
    <xf numFmtId="4" fontId="5" fillId="0" borderId="0" xfId="0" applyNumberFormat="1" applyFont="1"/>
    <xf numFmtId="164" fontId="5" fillId="0" borderId="13" xfId="0" applyNumberFormat="1" applyFont="1" applyBorder="1" applyAlignment="1">
      <alignment horizontal="right"/>
    </xf>
    <xf numFmtId="164" fontId="12" fillId="3" borderId="15" xfId="0" applyNumberFormat="1" applyFont="1" applyFill="1" applyBorder="1" applyAlignment="1">
      <alignment horizontal="right"/>
    </xf>
    <xf numFmtId="164" fontId="12" fillId="3" borderId="15" xfId="0" applyNumberFormat="1" applyFont="1" applyFill="1" applyBorder="1"/>
    <xf numFmtId="164" fontId="5" fillId="0" borderId="13" xfId="0" applyNumberFormat="1" applyFont="1" applyBorder="1"/>
    <xf numFmtId="164" fontId="12" fillId="0" borderId="13" xfId="0" applyNumberFormat="1" applyFont="1" applyBorder="1"/>
    <xf numFmtId="164" fontId="12" fillId="2" borderId="23" xfId="0" applyNumberFormat="1" applyFont="1" applyFill="1" applyBorder="1"/>
    <xf numFmtId="164" fontId="12" fillId="2" borderId="13" xfId="0" applyNumberFormat="1" applyFont="1" applyFill="1" applyBorder="1"/>
    <xf numFmtId="164" fontId="12" fillId="2" borderId="25" xfId="0" applyNumberFormat="1" applyFont="1" applyFill="1" applyBorder="1"/>
    <xf numFmtId="0" fontId="5" fillId="4" borderId="17" xfId="0" applyFont="1" applyFill="1" applyBorder="1"/>
    <xf numFmtId="0" fontId="5" fillId="4" borderId="11" xfId="0" applyFont="1" applyFill="1" applyBorder="1"/>
    <xf numFmtId="4" fontId="5" fillId="4" borderId="12" xfId="0" applyNumberFormat="1" applyFont="1" applyFill="1" applyBorder="1"/>
    <xf numFmtId="164" fontId="5" fillId="4" borderId="13" xfId="0" applyNumberFormat="1" applyFont="1" applyFill="1" applyBorder="1" applyAlignment="1">
      <alignment horizontal="right"/>
    </xf>
    <xf numFmtId="4" fontId="5" fillId="4" borderId="0" xfId="0" applyNumberFormat="1" applyFont="1" applyFill="1" applyBorder="1"/>
    <xf numFmtId="4" fontId="11" fillId="0" borderId="12" xfId="0" applyNumberFormat="1" applyFont="1" applyBorder="1"/>
    <xf numFmtId="0" fontId="6" fillId="5" borderId="1" xfId="0" applyNumberFormat="1" applyFont="1" applyFill="1" applyBorder="1"/>
    <xf numFmtId="0" fontId="6" fillId="5" borderId="3" xfId="0" applyNumberFormat="1" applyFont="1" applyFill="1" applyBorder="1"/>
    <xf numFmtId="0" fontId="5" fillId="5" borderId="11" xfId="0" applyFont="1" applyFill="1" applyBorder="1"/>
    <xf numFmtId="4" fontId="5" fillId="5" borderId="12" xfId="0" applyNumberFormat="1" applyFont="1" applyFill="1" applyBorder="1"/>
    <xf numFmtId="164" fontId="5" fillId="5" borderId="13" xfId="0" applyNumberFormat="1" applyFont="1" applyFill="1" applyBorder="1" applyAlignment="1">
      <alignment horizontal="right"/>
    </xf>
    <xf numFmtId="4" fontId="11" fillId="0" borderId="0" xfId="0" applyNumberFormat="1" applyFont="1" applyBorder="1"/>
    <xf numFmtId="9" fontId="12" fillId="2" borderId="12" xfId="1" applyFont="1" applyFill="1" applyBorder="1"/>
    <xf numFmtId="4" fontId="14" fillId="0" borderId="12" xfId="0" applyNumberFormat="1" applyFont="1" applyBorder="1"/>
    <xf numFmtId="4" fontId="7" fillId="0" borderId="2" xfId="0" applyNumberFormat="1" applyFont="1" applyBorder="1" applyAlignment="1">
      <alignment horizontal="center"/>
    </xf>
    <xf numFmtId="4" fontId="7" fillId="0" borderId="0" xfId="0" applyNumberFormat="1" applyFont="1" applyBorder="1" applyAlignment="1">
      <alignment horizontal="center"/>
    </xf>
    <xf numFmtId="4" fontId="6" fillId="0" borderId="0" xfId="0" applyNumberFormat="1" applyFont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4" fontId="5" fillId="0" borderId="12" xfId="0" applyNumberFormat="1" applyFont="1" applyBorder="1" applyAlignment="1">
      <alignment horizontal="center"/>
    </xf>
    <xf numFmtId="4" fontId="5" fillId="0" borderId="13" xfId="0" applyNumberFormat="1" applyFont="1" applyBorder="1" applyAlignment="1">
      <alignment horizontal="center"/>
    </xf>
    <xf numFmtId="4" fontId="5" fillId="4" borderId="12" xfId="0" applyNumberFormat="1" applyFont="1" applyFill="1" applyBorder="1" applyAlignment="1">
      <alignment horizontal="center"/>
    </xf>
    <xf numFmtId="4" fontId="5" fillId="4" borderId="13" xfId="0" applyNumberFormat="1" applyFont="1" applyFill="1" applyBorder="1" applyAlignment="1">
      <alignment horizontal="center"/>
    </xf>
    <xf numFmtId="4" fontId="5" fillId="5" borderId="12" xfId="0" applyNumberFormat="1" applyFont="1" applyFill="1" applyBorder="1" applyAlignment="1">
      <alignment horizontal="center"/>
    </xf>
    <xf numFmtId="4" fontId="5" fillId="5" borderId="13" xfId="0" applyNumberFormat="1" applyFont="1" applyFill="1" applyBorder="1" applyAlignment="1">
      <alignment horizontal="center"/>
    </xf>
    <xf numFmtId="4" fontId="12" fillId="3" borderId="14" xfId="0" applyNumberFormat="1" applyFont="1" applyFill="1" applyBorder="1" applyAlignment="1">
      <alignment horizontal="center"/>
    </xf>
    <xf numFmtId="4" fontId="12" fillId="3" borderId="15" xfId="0" applyNumberFormat="1" applyFont="1" applyFill="1" applyBorder="1" applyAlignment="1">
      <alignment horizontal="center"/>
    </xf>
    <xf numFmtId="4" fontId="12" fillId="0" borderId="12" xfId="0" applyNumberFormat="1" applyFont="1" applyBorder="1" applyAlignment="1">
      <alignment horizontal="center"/>
    </xf>
    <xf numFmtId="4" fontId="12" fillId="0" borderId="13" xfId="0" applyNumberFormat="1" applyFont="1" applyBorder="1" applyAlignment="1">
      <alignment horizontal="center"/>
    </xf>
    <xf numFmtId="4" fontId="12" fillId="2" borderId="22" xfId="0" applyNumberFormat="1" applyFont="1" applyFill="1" applyBorder="1" applyAlignment="1">
      <alignment horizontal="center"/>
    </xf>
    <xf numFmtId="4" fontId="12" fillId="2" borderId="23" xfId="0" applyNumberFormat="1" applyFont="1" applyFill="1" applyBorder="1" applyAlignment="1">
      <alignment horizontal="center"/>
    </xf>
    <xf numFmtId="4" fontId="12" fillId="2" borderId="12" xfId="0" applyNumberFormat="1" applyFont="1" applyFill="1" applyBorder="1" applyAlignment="1">
      <alignment horizontal="center"/>
    </xf>
    <xf numFmtId="4" fontId="12" fillId="2" borderId="13" xfId="0" applyNumberFormat="1" applyFont="1" applyFill="1" applyBorder="1" applyAlignment="1">
      <alignment horizontal="center"/>
    </xf>
    <xf numFmtId="4" fontId="12" fillId="2" borderId="24" xfId="0" applyNumberFormat="1" applyFont="1" applyFill="1" applyBorder="1" applyAlignment="1">
      <alignment horizontal="center"/>
    </xf>
    <xf numFmtId="4" fontId="12" fillId="2" borderId="25" xfId="0" applyNumberFormat="1" applyFont="1" applyFill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0" fontId="11" fillId="0" borderId="17" xfId="0" applyFont="1" applyBorder="1"/>
    <xf numFmtId="0" fontId="11" fillId="0" borderId="11" xfId="0" applyFont="1" applyBorder="1"/>
    <xf numFmtId="4" fontId="11" fillId="0" borderId="12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right"/>
    </xf>
    <xf numFmtId="0" fontId="11" fillId="0" borderId="0" xfId="0" applyFont="1"/>
    <xf numFmtId="0" fontId="6" fillId="0" borderId="4" xfId="0" applyNumberFormat="1" applyFont="1" applyBorder="1" applyAlignment="1">
      <alignment horizontal="right"/>
    </xf>
    <xf numFmtId="0" fontId="6" fillId="0" borderId="5" xfId="0" applyNumberFormat="1" applyFont="1" applyBorder="1" applyAlignment="1">
      <alignment horizontal="right"/>
    </xf>
    <xf numFmtId="14" fontId="6" fillId="0" borderId="4" xfId="0" applyNumberFormat="1" applyFont="1" applyBorder="1" applyAlignment="1">
      <alignment horizontal="right"/>
    </xf>
    <xf numFmtId="0" fontId="12" fillId="0" borderId="0" xfId="0" applyFont="1"/>
    <xf numFmtId="0" fontId="6" fillId="0" borderId="6" xfId="0" applyNumberFormat="1" applyFont="1" applyBorder="1" applyAlignment="1">
      <alignment horizontal="right"/>
    </xf>
    <xf numFmtId="0" fontId="6" fillId="0" borderId="8" xfId="0" applyNumberFormat="1" applyFont="1" applyBorder="1" applyAlignment="1">
      <alignment horizontal="right"/>
    </xf>
    <xf numFmtId="4" fontId="5" fillId="0" borderId="12" xfId="0" applyNumberFormat="1" applyFont="1" applyFill="1" applyBorder="1"/>
    <xf numFmtId="4" fontId="5" fillId="6" borderId="12" xfId="0" applyNumberFormat="1" applyFont="1" applyFill="1" applyBorder="1"/>
    <xf numFmtId="4" fontId="5" fillId="6" borderId="0" xfId="0" applyNumberFormat="1" applyFont="1" applyFill="1" applyBorder="1"/>
    <xf numFmtId="164" fontId="12" fillId="6" borderId="13" xfId="0" applyNumberFormat="1" applyFont="1" applyFill="1" applyBorder="1"/>
    <xf numFmtId="0" fontId="4" fillId="0" borderId="11" xfId="0" applyFont="1" applyBorder="1" applyAlignment="1">
      <alignment wrapText="1"/>
    </xf>
    <xf numFmtId="164" fontId="12" fillId="0" borderId="13" xfId="0" applyNumberFormat="1" applyFont="1" applyFill="1" applyBorder="1"/>
    <xf numFmtId="164" fontId="11" fillId="0" borderId="13" xfId="0" applyNumberFormat="1" applyFont="1" applyBorder="1" applyAlignment="1">
      <alignment horizontal="right"/>
    </xf>
    <xf numFmtId="0" fontId="3" fillId="5" borderId="11" xfId="0" applyFont="1" applyFill="1" applyBorder="1"/>
    <xf numFmtId="0" fontId="2" fillId="4" borderId="17" xfId="0" applyFont="1" applyFill="1" applyBorder="1"/>
    <xf numFmtId="0" fontId="2" fillId="4" borderId="11" xfId="0" applyFont="1" applyFill="1" applyBorder="1"/>
    <xf numFmtId="4" fontId="2" fillId="4" borderId="13" xfId="0" applyNumberFormat="1" applyFont="1" applyFill="1" applyBorder="1" applyAlignment="1">
      <alignment horizontal="center"/>
    </xf>
    <xf numFmtId="164" fontId="2" fillId="0" borderId="13" xfId="0" applyNumberFormat="1" applyFont="1" applyBorder="1" applyAlignment="1">
      <alignment horizontal="right"/>
    </xf>
    <xf numFmtId="164" fontId="2" fillId="4" borderId="13" xfId="0" applyNumberFormat="1" applyFont="1" applyFill="1" applyBorder="1" applyAlignment="1">
      <alignment horizontal="right"/>
    </xf>
    <xf numFmtId="164" fontId="2" fillId="5" borderId="13" xfId="0" applyNumberFormat="1" applyFont="1" applyFill="1" applyBorder="1" applyAlignment="1">
      <alignment horizontal="right"/>
    </xf>
    <xf numFmtId="4" fontId="15" fillId="0" borderId="12" xfId="0" applyNumberFormat="1" applyFont="1" applyFill="1" applyBorder="1"/>
    <xf numFmtId="0" fontId="1" fillId="4" borderId="11" xfId="0" applyFont="1" applyFill="1" applyBorder="1"/>
    <xf numFmtId="164" fontId="1" fillId="4" borderId="13" xfId="0" applyNumberFormat="1" applyFont="1" applyFill="1" applyBorder="1" applyAlignment="1">
      <alignment horizontal="right"/>
    </xf>
    <xf numFmtId="0" fontId="6" fillId="7" borderId="3" xfId="0" applyNumberFormat="1" applyFont="1" applyFill="1" applyBorder="1"/>
    <xf numFmtId="4" fontId="5" fillId="7" borderId="12" xfId="0" applyNumberFormat="1" applyFont="1" applyFill="1" applyBorder="1" applyAlignment="1">
      <alignment horizontal="center"/>
    </xf>
    <xf numFmtId="4" fontId="1" fillId="7" borderId="13" xfId="0" applyNumberFormat="1" applyFont="1" applyFill="1" applyBorder="1" applyAlignment="1">
      <alignment horizontal="center"/>
    </xf>
    <xf numFmtId="4" fontId="5" fillId="7" borderId="12" xfId="0" applyNumberFormat="1" applyFont="1" applyFill="1" applyBorder="1"/>
    <xf numFmtId="164" fontId="2" fillId="7" borderId="13" xfId="0" applyNumberFormat="1" applyFont="1" applyFill="1" applyBorder="1" applyAlignment="1">
      <alignment horizontal="right"/>
    </xf>
    <xf numFmtId="0" fontId="1" fillId="7" borderId="11" xfId="0" applyFont="1" applyFill="1" applyBorder="1"/>
    <xf numFmtId="4" fontId="1" fillId="4" borderId="13" xfId="0" applyNumberFormat="1" applyFont="1" applyFill="1" applyBorder="1" applyAlignment="1">
      <alignment horizontal="center"/>
    </xf>
    <xf numFmtId="0" fontId="1" fillId="4" borderId="17" xfId="0" applyFont="1" applyFill="1" applyBorder="1"/>
    <xf numFmtId="4" fontId="1" fillId="0" borderId="0" xfId="0" applyNumberFormat="1" applyFont="1" applyBorder="1"/>
    <xf numFmtId="4" fontId="11" fillId="0" borderId="12" xfId="0" applyNumberFormat="1" applyFont="1" applyFill="1" applyBorder="1"/>
    <xf numFmtId="0" fontId="1" fillId="0" borderId="11" xfId="0" applyFont="1" applyBorder="1"/>
    <xf numFmtId="14" fontId="12" fillId="0" borderId="7" xfId="0" applyNumberFormat="1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233"/>
  <sheetViews>
    <sheetView zoomScale="85" zoomScaleNormal="85" workbookViewId="0">
      <pane xSplit="5" ySplit="9" topLeftCell="F22" activePane="bottomRight" state="frozen"/>
      <selection pane="topRight" activeCell="F1" sqref="F1"/>
      <selection pane="bottomLeft" activeCell="A10" sqref="A10"/>
      <selection pane="bottomRight" activeCell="C25" sqref="C25"/>
    </sheetView>
  </sheetViews>
  <sheetFormatPr baseColWidth="10" defaultColWidth="11.5" defaultRowHeight="14" x14ac:dyDescent="0.15"/>
  <cols>
    <col min="1" max="1" width="14.83203125" style="22" customWidth="1"/>
    <col min="2" max="2" width="10.5" style="22" hidden="1" customWidth="1"/>
    <col min="3" max="3" width="68.6640625" style="22" bestFit="1" customWidth="1"/>
    <col min="4" max="4" width="10.5" style="103" bestFit="1" customWidth="1"/>
    <col min="5" max="5" width="8.33203125" style="103" customWidth="1"/>
    <col min="6" max="6" width="14.6640625" style="56" bestFit="1" customWidth="1"/>
    <col min="7" max="7" width="15.6640625" style="56" bestFit="1" customWidth="1"/>
    <col min="8" max="8" width="14.5" style="56" bestFit="1" customWidth="1"/>
    <col min="9" max="9" width="16.33203125" style="56" bestFit="1" customWidth="1"/>
    <col min="10" max="10" width="14.6640625" style="56" bestFit="1" customWidth="1"/>
    <col min="11" max="12" width="14.5" style="56" bestFit="1" customWidth="1"/>
    <col min="13" max="13" width="14.83203125" style="56" bestFit="1" customWidth="1"/>
    <col min="14" max="14" width="14.5" style="56" bestFit="1" customWidth="1"/>
    <col min="15" max="15" width="14.6640625" style="56" bestFit="1" customWidth="1"/>
    <col min="16" max="18" width="14.5" style="56" bestFit="1" customWidth="1"/>
    <col min="19" max="19" width="15.6640625" style="56" bestFit="1" customWidth="1"/>
    <col min="20" max="20" width="14.5" style="56" bestFit="1" customWidth="1"/>
    <col min="21" max="21" width="16.33203125" style="56" bestFit="1" customWidth="1"/>
    <col min="22" max="22" width="14.5" style="56" bestFit="1" customWidth="1"/>
    <col min="23" max="23" width="15.6640625" style="56" bestFit="1" customWidth="1"/>
    <col min="24" max="16384" width="11.5" style="22"/>
  </cols>
  <sheetData>
    <row r="1" spans="1:23" x14ac:dyDescent="0.15">
      <c r="A1" s="1" t="s">
        <v>0</v>
      </c>
      <c r="B1" s="2"/>
      <c r="C1" s="17" t="s">
        <v>17</v>
      </c>
      <c r="D1" s="79"/>
      <c r="E1" s="79"/>
      <c r="F1" s="71" t="s">
        <v>1</v>
      </c>
      <c r="G1" s="72" t="s">
        <v>158</v>
      </c>
      <c r="H1" s="3" t="s">
        <v>1</v>
      </c>
      <c r="I1" s="4" t="s">
        <v>144</v>
      </c>
      <c r="J1" s="3" t="s">
        <v>1</v>
      </c>
      <c r="K1" s="4" t="s">
        <v>146</v>
      </c>
      <c r="L1" s="3" t="s">
        <v>1</v>
      </c>
      <c r="M1" s="4" t="s">
        <v>154</v>
      </c>
      <c r="N1" s="3" t="s">
        <v>1</v>
      </c>
      <c r="O1" s="4" t="s">
        <v>148</v>
      </c>
      <c r="P1" s="3" t="s">
        <v>1</v>
      </c>
      <c r="Q1" s="4" t="s">
        <v>156</v>
      </c>
      <c r="R1" s="3" t="s">
        <v>1</v>
      </c>
      <c r="S1" s="4" t="s">
        <v>151</v>
      </c>
      <c r="T1" s="3" t="s">
        <v>1</v>
      </c>
      <c r="U1" s="4" t="s">
        <v>152</v>
      </c>
      <c r="V1" s="3" t="s">
        <v>1</v>
      </c>
      <c r="W1" s="4"/>
    </row>
    <row r="2" spans="1:23" x14ac:dyDescent="0.15">
      <c r="A2" s="5"/>
      <c r="B2" s="6"/>
      <c r="C2" s="6"/>
      <c r="D2" s="80"/>
      <c r="E2" s="80"/>
      <c r="F2" s="7" t="s">
        <v>2</v>
      </c>
      <c r="G2" s="8" t="s">
        <v>159</v>
      </c>
      <c r="H2" s="7" t="s">
        <v>2</v>
      </c>
      <c r="I2" s="8" t="s">
        <v>145</v>
      </c>
      <c r="J2" s="7" t="s">
        <v>2</v>
      </c>
      <c r="K2" s="8" t="s">
        <v>147</v>
      </c>
      <c r="L2" s="7" t="s">
        <v>2</v>
      </c>
      <c r="M2" s="8" t="s">
        <v>155</v>
      </c>
      <c r="N2" s="7" t="s">
        <v>2</v>
      </c>
      <c r="O2" s="8" t="s">
        <v>149</v>
      </c>
      <c r="P2" s="7" t="s">
        <v>2</v>
      </c>
      <c r="Q2" s="8" t="s">
        <v>157</v>
      </c>
      <c r="R2" s="7" t="s">
        <v>2</v>
      </c>
      <c r="S2" s="8" t="s">
        <v>150</v>
      </c>
      <c r="T2" s="7" t="s">
        <v>2</v>
      </c>
      <c r="U2" s="8" t="s">
        <v>153</v>
      </c>
      <c r="V2" s="7" t="s">
        <v>2</v>
      </c>
      <c r="W2" s="8"/>
    </row>
    <row r="3" spans="1:23" ht="15" thickBot="1" x14ac:dyDescent="0.2">
      <c r="A3" s="5" t="s">
        <v>3</v>
      </c>
      <c r="B3" s="6"/>
      <c r="C3" s="14" t="s">
        <v>18</v>
      </c>
      <c r="D3" s="80"/>
      <c r="E3" s="80"/>
      <c r="F3" s="9" t="s">
        <v>4</v>
      </c>
      <c r="G3" s="21">
        <v>44698</v>
      </c>
      <c r="H3" s="9" t="s">
        <v>4</v>
      </c>
      <c r="I3" s="21">
        <v>44704</v>
      </c>
      <c r="J3" s="9" t="s">
        <v>4</v>
      </c>
      <c r="K3" s="21">
        <v>44705</v>
      </c>
      <c r="L3" s="9" t="s">
        <v>4</v>
      </c>
      <c r="M3" s="21">
        <v>44699</v>
      </c>
      <c r="N3" s="9" t="s">
        <v>4</v>
      </c>
      <c r="O3" s="21">
        <v>44704</v>
      </c>
      <c r="P3" s="9" t="s">
        <v>4</v>
      </c>
      <c r="Q3" s="21">
        <v>44699</v>
      </c>
      <c r="R3" s="9" t="s">
        <v>4</v>
      </c>
      <c r="S3" s="21">
        <v>44702</v>
      </c>
      <c r="T3" s="9" t="s">
        <v>4</v>
      </c>
      <c r="U3" s="21">
        <v>44702</v>
      </c>
      <c r="V3" s="9" t="s">
        <v>4</v>
      </c>
      <c r="W3" s="21"/>
    </row>
    <row r="4" spans="1:23" x14ac:dyDescent="0.15">
      <c r="A4" s="10"/>
      <c r="B4" s="6"/>
      <c r="C4" s="6"/>
      <c r="D4" s="80"/>
      <c r="E4" s="80"/>
      <c r="F4" s="11" t="s">
        <v>5</v>
      </c>
      <c r="G4" s="8"/>
      <c r="H4" s="11" t="s">
        <v>5</v>
      </c>
      <c r="I4" s="8"/>
      <c r="J4" s="11" t="s">
        <v>5</v>
      </c>
      <c r="K4" s="8"/>
      <c r="L4" s="11" t="s">
        <v>5</v>
      </c>
      <c r="M4" s="8"/>
      <c r="N4" s="11" t="s">
        <v>5</v>
      </c>
      <c r="O4" s="8"/>
      <c r="P4" s="11" t="s">
        <v>5</v>
      </c>
      <c r="Q4" s="8"/>
      <c r="R4" s="11" t="s">
        <v>5</v>
      </c>
      <c r="S4" s="8"/>
      <c r="T4" s="11" t="s">
        <v>5</v>
      </c>
      <c r="U4" s="8"/>
      <c r="V4" s="11" t="s">
        <v>5</v>
      </c>
      <c r="W4" s="8"/>
    </row>
    <row r="5" spans="1:23" x14ac:dyDescent="0.15">
      <c r="A5" s="10"/>
      <c r="B5" s="6"/>
      <c r="C5" s="6"/>
      <c r="D5" s="80"/>
      <c r="E5" s="80"/>
      <c r="F5" s="12" t="s">
        <v>6</v>
      </c>
      <c r="G5" s="13" t="s">
        <v>7</v>
      </c>
      <c r="H5" s="12" t="s">
        <v>6</v>
      </c>
      <c r="I5" s="13" t="s">
        <v>7</v>
      </c>
      <c r="J5" s="12" t="s">
        <v>6</v>
      </c>
      <c r="K5" s="13" t="s">
        <v>7</v>
      </c>
      <c r="L5" s="12" t="s">
        <v>6</v>
      </c>
      <c r="M5" s="13" t="s">
        <v>7</v>
      </c>
      <c r="N5" s="12" t="s">
        <v>6</v>
      </c>
      <c r="O5" s="13" t="s">
        <v>7</v>
      </c>
      <c r="P5" s="12" t="s">
        <v>6</v>
      </c>
      <c r="Q5" s="13" t="s">
        <v>7</v>
      </c>
      <c r="R5" s="12" t="s">
        <v>6</v>
      </c>
      <c r="S5" s="13" t="s">
        <v>7</v>
      </c>
      <c r="T5" s="12" t="s">
        <v>6</v>
      </c>
      <c r="U5" s="13" t="s">
        <v>7</v>
      </c>
      <c r="V5" s="12" t="s">
        <v>6</v>
      </c>
      <c r="W5" s="13" t="s">
        <v>7</v>
      </c>
    </row>
    <row r="6" spans="1:23" s="113" customFormat="1" x14ac:dyDescent="0.15">
      <c r="A6" s="5"/>
      <c r="B6" s="14"/>
      <c r="C6" s="14"/>
      <c r="D6" s="81"/>
      <c r="E6" s="81"/>
      <c r="F6" s="112">
        <v>44644</v>
      </c>
      <c r="G6" s="111">
        <v>207</v>
      </c>
      <c r="H6" s="112">
        <v>44715</v>
      </c>
      <c r="I6" s="111">
        <v>244</v>
      </c>
      <c r="J6" s="112">
        <v>44713</v>
      </c>
      <c r="K6" s="111">
        <v>195</v>
      </c>
      <c r="L6" s="112">
        <v>44638</v>
      </c>
      <c r="M6" s="111">
        <v>188</v>
      </c>
      <c r="N6" s="112">
        <v>44663</v>
      </c>
      <c r="O6" s="111">
        <v>228</v>
      </c>
      <c r="P6" s="110"/>
      <c r="Q6" s="111"/>
      <c r="R6" s="110"/>
      <c r="S6" s="111"/>
      <c r="T6" s="110"/>
      <c r="U6" s="111"/>
      <c r="V6" s="110"/>
      <c r="W6" s="111"/>
    </row>
    <row r="7" spans="1:23" x14ac:dyDescent="0.15">
      <c r="A7" s="10"/>
      <c r="B7" s="6"/>
      <c r="C7" s="6"/>
      <c r="D7" s="80"/>
      <c r="E7" s="80"/>
      <c r="F7" s="12" t="s">
        <v>8</v>
      </c>
      <c r="G7" s="13" t="s">
        <v>9</v>
      </c>
      <c r="H7" s="12" t="s">
        <v>8</v>
      </c>
      <c r="I7" s="13" t="s">
        <v>9</v>
      </c>
      <c r="J7" s="12" t="s">
        <v>8</v>
      </c>
      <c r="K7" s="13" t="s">
        <v>9</v>
      </c>
      <c r="L7" s="12" t="s">
        <v>8</v>
      </c>
      <c r="M7" s="13" t="s">
        <v>9</v>
      </c>
      <c r="N7" s="12" t="s">
        <v>8</v>
      </c>
      <c r="O7" s="13" t="s">
        <v>9</v>
      </c>
      <c r="P7" s="12" t="s">
        <v>8</v>
      </c>
      <c r="Q7" s="13" t="s">
        <v>9</v>
      </c>
      <c r="R7" s="12" t="s">
        <v>8</v>
      </c>
      <c r="S7" s="13" t="s">
        <v>9</v>
      </c>
      <c r="T7" s="12" t="s">
        <v>8</v>
      </c>
      <c r="U7" s="13" t="s">
        <v>9</v>
      </c>
      <c r="V7" s="12" t="s">
        <v>8</v>
      </c>
      <c r="W7" s="13" t="s">
        <v>9</v>
      </c>
    </row>
    <row r="8" spans="1:23" s="113" customFormat="1" ht="15" thickBot="1" x14ac:dyDescent="0.2">
      <c r="A8" s="15"/>
      <c r="B8" s="16"/>
      <c r="C8" s="16"/>
      <c r="D8" s="82"/>
      <c r="E8" s="82"/>
      <c r="F8" s="114">
        <v>13</v>
      </c>
      <c r="G8" s="115" t="s">
        <v>173</v>
      </c>
      <c r="H8" s="114">
        <v>6</v>
      </c>
      <c r="I8" s="115" t="s">
        <v>173</v>
      </c>
      <c r="J8" s="114">
        <v>9</v>
      </c>
      <c r="K8" s="115" t="s">
        <v>174</v>
      </c>
      <c r="L8" s="114">
        <v>204</v>
      </c>
      <c r="M8" s="115" t="s">
        <v>170</v>
      </c>
      <c r="N8" s="114">
        <v>60</v>
      </c>
      <c r="O8" s="115" t="s">
        <v>171</v>
      </c>
      <c r="P8" s="114"/>
      <c r="Q8" s="115"/>
      <c r="R8" s="114"/>
      <c r="S8" s="115"/>
      <c r="T8" s="114"/>
      <c r="U8" s="115"/>
      <c r="V8" s="114"/>
      <c r="W8" s="115"/>
    </row>
    <row r="9" spans="1:23" x14ac:dyDescent="0.15">
      <c r="A9" s="18" t="s">
        <v>10</v>
      </c>
      <c r="B9" s="18" t="s">
        <v>11</v>
      </c>
      <c r="C9" s="17" t="s">
        <v>12</v>
      </c>
      <c r="D9" s="83" t="s">
        <v>13</v>
      </c>
      <c r="E9" s="84" t="s">
        <v>14</v>
      </c>
      <c r="F9" s="19" t="s">
        <v>15</v>
      </c>
      <c r="G9" s="20" t="s">
        <v>16</v>
      </c>
      <c r="H9" s="19" t="s">
        <v>15</v>
      </c>
      <c r="I9" s="20" t="s">
        <v>16</v>
      </c>
      <c r="J9" s="19" t="s">
        <v>15</v>
      </c>
      <c r="K9" s="20" t="s">
        <v>16</v>
      </c>
      <c r="L9" s="19" t="s">
        <v>15</v>
      </c>
      <c r="M9" s="20" t="s">
        <v>16</v>
      </c>
      <c r="N9" s="19" t="s">
        <v>15</v>
      </c>
      <c r="O9" s="20" t="s">
        <v>16</v>
      </c>
      <c r="P9" s="19" t="s">
        <v>15</v>
      </c>
      <c r="Q9" s="20" t="s">
        <v>16</v>
      </c>
      <c r="R9" s="19" t="s">
        <v>15</v>
      </c>
      <c r="S9" s="20" t="s">
        <v>16</v>
      </c>
      <c r="T9" s="19" t="s">
        <v>15</v>
      </c>
      <c r="U9" s="20" t="s">
        <v>16</v>
      </c>
      <c r="V9" s="19" t="s">
        <v>15</v>
      </c>
      <c r="W9" s="20" t="s">
        <v>16</v>
      </c>
    </row>
    <row r="10" spans="1:23" s="109" customFormat="1" x14ac:dyDescent="0.15">
      <c r="A10" s="104"/>
      <c r="B10" s="105"/>
      <c r="C10" s="105"/>
      <c r="D10" s="106"/>
      <c r="E10" s="107"/>
      <c r="F10" s="70" t="s">
        <v>165</v>
      </c>
      <c r="G10" s="108"/>
      <c r="H10" s="70"/>
      <c r="I10" s="108"/>
      <c r="J10" s="70" t="s">
        <v>165</v>
      </c>
      <c r="K10" s="108"/>
      <c r="L10" s="70" t="s">
        <v>165</v>
      </c>
      <c r="M10" s="108"/>
      <c r="N10" s="70" t="s">
        <v>165</v>
      </c>
      <c r="O10" s="108"/>
      <c r="P10" s="70"/>
      <c r="Q10" s="108"/>
      <c r="R10" s="70"/>
      <c r="S10" s="108"/>
      <c r="T10" s="70"/>
      <c r="U10" s="108"/>
      <c r="V10" s="70"/>
      <c r="W10" s="108"/>
    </row>
    <row r="11" spans="1:23" x14ac:dyDescent="0.15">
      <c r="A11" s="65" t="s">
        <v>19</v>
      </c>
      <c r="B11" s="66"/>
      <c r="C11" s="66" t="s">
        <v>90</v>
      </c>
      <c r="D11" s="87"/>
      <c r="E11" s="88"/>
      <c r="F11" s="67"/>
      <c r="G11" s="68"/>
      <c r="H11" s="67"/>
      <c r="I11" s="68"/>
      <c r="J11" s="69"/>
      <c r="K11" s="68"/>
      <c r="L11" s="67"/>
      <c r="M11" s="68"/>
      <c r="N11" s="67"/>
      <c r="O11" s="68"/>
      <c r="P11" s="67"/>
      <c r="Q11" s="68"/>
      <c r="R11" s="67"/>
      <c r="S11" s="68"/>
      <c r="T11" s="67"/>
      <c r="U11" s="68"/>
      <c r="V11" s="67"/>
      <c r="W11" s="68"/>
    </row>
    <row r="12" spans="1:23" x14ac:dyDescent="0.15">
      <c r="A12" s="23" t="s">
        <v>21</v>
      </c>
      <c r="B12" s="24"/>
      <c r="C12" s="24" t="s">
        <v>92</v>
      </c>
      <c r="D12" s="85">
        <v>5742</v>
      </c>
      <c r="E12" s="86" t="s">
        <v>135</v>
      </c>
      <c r="F12" s="116">
        <v>2.8</v>
      </c>
      <c r="G12" s="57">
        <f>$D12*F12</f>
        <v>16077.599999999999</v>
      </c>
      <c r="H12" s="25">
        <v>2.85</v>
      </c>
      <c r="I12" s="57">
        <f>$D12*H12</f>
        <v>16364.7</v>
      </c>
      <c r="J12" s="118">
        <v>2.44</v>
      </c>
      <c r="K12" s="57">
        <f>$D12*J12</f>
        <v>14010.48</v>
      </c>
      <c r="L12" s="25">
        <v>5.65</v>
      </c>
      <c r="M12" s="57">
        <f>$D12*L12</f>
        <v>32442.300000000003</v>
      </c>
      <c r="N12" s="25">
        <v>5.0999999999999996</v>
      </c>
      <c r="O12" s="57">
        <f>$D12*N12</f>
        <v>29284.199999999997</v>
      </c>
      <c r="P12" s="25">
        <v>5.5</v>
      </c>
      <c r="Q12" s="57">
        <f>$D12*P12</f>
        <v>31581</v>
      </c>
      <c r="R12" s="25">
        <v>4.87</v>
      </c>
      <c r="S12" s="57">
        <f>$D12*R12</f>
        <v>27963.54</v>
      </c>
      <c r="T12" s="25">
        <v>6</v>
      </c>
      <c r="U12" s="57">
        <f>$D12*T12</f>
        <v>34452</v>
      </c>
      <c r="V12" s="25">
        <v>0</v>
      </c>
      <c r="W12" s="57">
        <f>$D12*V12</f>
        <v>0</v>
      </c>
    </row>
    <row r="13" spans="1:23" ht="15" x14ac:dyDescent="0.15">
      <c r="A13" s="23" t="s">
        <v>22</v>
      </c>
      <c r="B13" s="24"/>
      <c r="C13" s="120" t="s">
        <v>172</v>
      </c>
      <c r="D13" s="85">
        <v>4430</v>
      </c>
      <c r="E13" s="86" t="s">
        <v>135</v>
      </c>
      <c r="F13" s="117">
        <v>35.75</v>
      </c>
      <c r="G13" s="57">
        <f>$D13*F13</f>
        <v>158372.5</v>
      </c>
      <c r="H13" s="25">
        <v>34.840000000000003</v>
      </c>
      <c r="I13" s="57">
        <f>$D13*H13</f>
        <v>154341.20000000001</v>
      </c>
      <c r="J13" s="26">
        <v>37.33</v>
      </c>
      <c r="K13" s="57">
        <f t="shared" ref="K13" si="0">$D13*J13</f>
        <v>165371.9</v>
      </c>
      <c r="L13" s="25">
        <v>36</v>
      </c>
      <c r="M13" s="57">
        <f>$D13*L13</f>
        <v>159480</v>
      </c>
      <c r="N13" s="25">
        <v>38.4</v>
      </c>
      <c r="O13" s="57">
        <f>$D13*N13</f>
        <v>170112</v>
      </c>
      <c r="P13" s="25">
        <v>36.799999999999997</v>
      </c>
      <c r="Q13" s="57">
        <f>$D13*P13</f>
        <v>163024</v>
      </c>
      <c r="R13" s="25">
        <v>37.340000000000003</v>
      </c>
      <c r="S13" s="57">
        <f>$D13*R13</f>
        <v>165416.20000000001</v>
      </c>
      <c r="T13" s="25">
        <v>38</v>
      </c>
      <c r="U13" s="57">
        <f>$D13*T13</f>
        <v>168340</v>
      </c>
      <c r="V13" s="25">
        <v>0</v>
      </c>
      <c r="W13" s="57">
        <f t="shared" ref="W13" si="1">$D13*V13</f>
        <v>0</v>
      </c>
    </row>
    <row r="14" spans="1:23" ht="30" x14ac:dyDescent="0.15">
      <c r="A14" s="23" t="s">
        <v>23</v>
      </c>
      <c r="B14" s="24"/>
      <c r="C14" s="27" t="s">
        <v>93</v>
      </c>
      <c r="D14" s="85">
        <v>1313</v>
      </c>
      <c r="E14" s="86" t="s">
        <v>135</v>
      </c>
      <c r="F14" s="25">
        <v>48.1</v>
      </c>
      <c r="G14" s="57">
        <f>$D14*F14</f>
        <v>63155.3</v>
      </c>
      <c r="H14" s="25">
        <v>46.75</v>
      </c>
      <c r="I14" s="57">
        <f>$D14*H14</f>
        <v>61382.75</v>
      </c>
      <c r="J14" s="26">
        <v>49.95</v>
      </c>
      <c r="K14" s="57">
        <f t="shared" ref="K14" si="2">$D14*J14</f>
        <v>65584.350000000006</v>
      </c>
      <c r="L14" s="25">
        <v>49.55</v>
      </c>
      <c r="M14" s="57">
        <f>$D14*L14</f>
        <v>65059.149999999994</v>
      </c>
      <c r="N14" s="25">
        <v>52.7</v>
      </c>
      <c r="O14" s="57">
        <f>$D14*N14</f>
        <v>69195.100000000006</v>
      </c>
      <c r="P14" s="117">
        <v>47.5</v>
      </c>
      <c r="Q14" s="57">
        <f>$D14*P14</f>
        <v>62367.5</v>
      </c>
      <c r="R14" s="25">
        <v>49.59</v>
      </c>
      <c r="S14" s="57">
        <f>$D14*R14</f>
        <v>65111.670000000006</v>
      </c>
      <c r="T14" s="25">
        <v>50</v>
      </c>
      <c r="U14" s="57">
        <f>$D14*T14</f>
        <v>65650</v>
      </c>
      <c r="V14" s="25">
        <v>0</v>
      </c>
      <c r="W14" s="57">
        <f t="shared" ref="W14" si="3">$D14*V14</f>
        <v>0</v>
      </c>
    </row>
    <row r="15" spans="1:23" x14ac:dyDescent="0.15">
      <c r="A15" s="23" t="s">
        <v>24</v>
      </c>
      <c r="B15" s="24" t="s">
        <v>89</v>
      </c>
      <c r="C15" s="24" t="s">
        <v>94</v>
      </c>
      <c r="D15" s="85">
        <v>1</v>
      </c>
      <c r="E15" s="86" t="s">
        <v>135</v>
      </c>
      <c r="F15" s="25">
        <v>5.0999999999999996</v>
      </c>
      <c r="G15" s="57" t="s">
        <v>143</v>
      </c>
      <c r="H15" s="117">
        <v>4.25</v>
      </c>
      <c r="I15" s="57" t="s">
        <v>143</v>
      </c>
      <c r="J15" s="76">
        <v>44.44</v>
      </c>
      <c r="K15" s="57" t="s">
        <v>143</v>
      </c>
      <c r="L15" s="25">
        <v>5.05</v>
      </c>
      <c r="M15" s="57" t="s">
        <v>143</v>
      </c>
      <c r="N15" s="25">
        <v>5.3</v>
      </c>
      <c r="O15" s="57" t="s">
        <v>143</v>
      </c>
      <c r="P15" s="25">
        <v>8.5</v>
      </c>
      <c r="Q15" s="57" t="s">
        <v>143</v>
      </c>
      <c r="R15" s="25">
        <v>6.5</v>
      </c>
      <c r="S15" s="57" t="s">
        <v>143</v>
      </c>
      <c r="T15" s="25">
        <v>10</v>
      </c>
      <c r="U15" s="57" t="s">
        <v>143</v>
      </c>
      <c r="V15" s="25">
        <v>0</v>
      </c>
      <c r="W15" s="57" t="s">
        <v>143</v>
      </c>
    </row>
    <row r="16" spans="1:23" x14ac:dyDescent="0.15">
      <c r="A16" s="23" t="s">
        <v>25</v>
      </c>
      <c r="B16" s="24" t="s">
        <v>89</v>
      </c>
      <c r="C16" s="24" t="s">
        <v>95</v>
      </c>
      <c r="D16" s="85">
        <v>1</v>
      </c>
      <c r="E16" s="86" t="s">
        <v>135</v>
      </c>
      <c r="F16" s="25">
        <v>5.0999999999999996</v>
      </c>
      <c r="G16" s="57" t="s">
        <v>143</v>
      </c>
      <c r="H16" s="117">
        <v>4.25</v>
      </c>
      <c r="I16" s="57" t="s">
        <v>143</v>
      </c>
      <c r="J16" s="76">
        <v>53</v>
      </c>
      <c r="K16" s="57" t="s">
        <v>143</v>
      </c>
      <c r="L16" s="25">
        <v>5.05</v>
      </c>
      <c r="M16" s="57" t="s">
        <v>143</v>
      </c>
      <c r="N16" s="25">
        <v>5.3</v>
      </c>
      <c r="O16" s="57" t="s">
        <v>143</v>
      </c>
      <c r="P16" s="25">
        <v>11.5</v>
      </c>
      <c r="Q16" s="57" t="s">
        <v>143</v>
      </c>
      <c r="R16" s="25">
        <v>6.5</v>
      </c>
      <c r="S16" s="57" t="s">
        <v>143</v>
      </c>
      <c r="T16" s="25">
        <v>10</v>
      </c>
      <c r="U16" s="57" t="s">
        <v>143</v>
      </c>
      <c r="V16" s="25">
        <v>0</v>
      </c>
      <c r="W16" s="57" t="s">
        <v>143</v>
      </c>
    </row>
    <row r="17" spans="1:23" x14ac:dyDescent="0.15">
      <c r="A17" s="23" t="s">
        <v>26</v>
      </c>
      <c r="B17" s="24" t="s">
        <v>89</v>
      </c>
      <c r="C17" s="24" t="s">
        <v>96</v>
      </c>
      <c r="D17" s="85">
        <v>385</v>
      </c>
      <c r="E17" s="86" t="s">
        <v>136</v>
      </c>
      <c r="F17" s="25">
        <v>5.65</v>
      </c>
      <c r="G17" s="57" t="s">
        <v>143</v>
      </c>
      <c r="H17" s="25">
        <v>5.35</v>
      </c>
      <c r="I17" s="57" t="s">
        <v>143</v>
      </c>
      <c r="J17" s="26">
        <v>4</v>
      </c>
      <c r="K17" s="57" t="s">
        <v>143</v>
      </c>
      <c r="L17" s="117">
        <v>1.25</v>
      </c>
      <c r="M17" s="57" t="s">
        <v>143</v>
      </c>
      <c r="N17" s="25">
        <v>5.8</v>
      </c>
      <c r="O17" s="57" t="s">
        <v>143</v>
      </c>
      <c r="P17" s="25">
        <v>5</v>
      </c>
      <c r="Q17" s="57" t="s">
        <v>143</v>
      </c>
      <c r="R17" s="25">
        <v>4.42</v>
      </c>
      <c r="S17" s="57" t="s">
        <v>143</v>
      </c>
      <c r="T17" s="25">
        <v>10</v>
      </c>
      <c r="U17" s="57" t="s">
        <v>143</v>
      </c>
      <c r="V17" s="25">
        <v>0</v>
      </c>
      <c r="W17" s="57" t="s">
        <v>143</v>
      </c>
    </row>
    <row r="18" spans="1:23" x14ac:dyDescent="0.15">
      <c r="A18" s="23" t="s">
        <v>27</v>
      </c>
      <c r="B18" s="24" t="s">
        <v>89</v>
      </c>
      <c r="C18" s="24" t="s">
        <v>97</v>
      </c>
      <c r="D18" s="85">
        <v>1</v>
      </c>
      <c r="E18" s="86" t="s">
        <v>136</v>
      </c>
      <c r="F18" s="25">
        <v>12.4</v>
      </c>
      <c r="G18" s="57" t="s">
        <v>143</v>
      </c>
      <c r="H18" s="25">
        <v>4.5</v>
      </c>
      <c r="I18" s="57" t="s">
        <v>143</v>
      </c>
      <c r="J18" s="26">
        <v>4</v>
      </c>
      <c r="K18" s="57" t="s">
        <v>143</v>
      </c>
      <c r="L18" s="117">
        <v>1.85</v>
      </c>
      <c r="M18" s="57" t="s">
        <v>143</v>
      </c>
      <c r="N18" s="78" t="s">
        <v>167</v>
      </c>
      <c r="O18" s="57" t="s">
        <v>143</v>
      </c>
      <c r="P18" s="25">
        <v>8.5</v>
      </c>
      <c r="Q18" s="57" t="s">
        <v>143</v>
      </c>
      <c r="R18" s="25">
        <v>9.66</v>
      </c>
      <c r="S18" s="57" t="s">
        <v>143</v>
      </c>
      <c r="T18" s="25">
        <v>30</v>
      </c>
      <c r="U18" s="57" t="s">
        <v>143</v>
      </c>
      <c r="V18" s="25">
        <v>0</v>
      </c>
      <c r="W18" s="57" t="s">
        <v>143</v>
      </c>
    </row>
    <row r="19" spans="1:23" x14ac:dyDescent="0.15">
      <c r="A19" s="23" t="s">
        <v>28</v>
      </c>
      <c r="B19" s="24"/>
      <c r="C19" s="24" t="s">
        <v>162</v>
      </c>
      <c r="D19" s="85">
        <v>3923</v>
      </c>
      <c r="E19" s="86" t="s">
        <v>137</v>
      </c>
      <c r="F19" s="117"/>
      <c r="G19" s="57"/>
      <c r="H19" s="25">
        <v>5.9</v>
      </c>
      <c r="I19" s="57">
        <f>$D19*H19</f>
        <v>23145.7</v>
      </c>
      <c r="J19" s="26"/>
      <c r="K19" s="57"/>
      <c r="L19" s="25"/>
      <c r="M19" s="57"/>
      <c r="N19" s="25">
        <v>5.5</v>
      </c>
      <c r="O19" s="57">
        <f>$D19*N19</f>
        <v>21576.5</v>
      </c>
      <c r="P19" s="25">
        <v>5.5</v>
      </c>
      <c r="Q19" s="57">
        <f>$D19*P19</f>
        <v>21576.5</v>
      </c>
      <c r="R19" s="25">
        <v>6.57</v>
      </c>
      <c r="S19" s="57">
        <f>$D19*R19</f>
        <v>25774.11</v>
      </c>
      <c r="T19" s="25">
        <v>10</v>
      </c>
      <c r="U19" s="57">
        <f>$D19*T19</f>
        <v>39230</v>
      </c>
      <c r="V19" s="25">
        <v>0</v>
      </c>
      <c r="W19" s="57">
        <f t="shared" ref="W19" si="4">$D19*V19</f>
        <v>0</v>
      </c>
    </row>
    <row r="20" spans="1:23" x14ac:dyDescent="0.15">
      <c r="A20" s="23"/>
      <c r="B20" s="24"/>
      <c r="C20" s="73" t="s">
        <v>161</v>
      </c>
      <c r="D20" s="89">
        <v>3923</v>
      </c>
      <c r="E20" s="90" t="s">
        <v>137</v>
      </c>
      <c r="F20" s="74">
        <v>4.8499999999999996</v>
      </c>
      <c r="G20" s="75">
        <f>$D20*F20</f>
        <v>19026.55</v>
      </c>
      <c r="H20" s="25"/>
      <c r="I20" s="57"/>
      <c r="J20" s="26">
        <v>5.2</v>
      </c>
      <c r="K20" s="75">
        <f t="shared" ref="K20" si="5">$D20*J20</f>
        <v>20399.600000000002</v>
      </c>
      <c r="L20" s="25">
        <v>5.2</v>
      </c>
      <c r="M20" s="57">
        <f>$D20*L20</f>
        <v>20399.600000000002</v>
      </c>
      <c r="N20" s="25"/>
      <c r="O20" s="57"/>
      <c r="P20" s="25"/>
      <c r="Q20" s="57"/>
      <c r="R20" s="25"/>
      <c r="S20" s="57"/>
      <c r="T20" s="25"/>
      <c r="U20" s="57"/>
      <c r="V20" s="25"/>
      <c r="W20" s="57"/>
    </row>
    <row r="21" spans="1:23" x14ac:dyDescent="0.15">
      <c r="A21" s="23"/>
      <c r="B21" s="24"/>
      <c r="C21" s="73" t="s">
        <v>166</v>
      </c>
      <c r="D21" s="89">
        <v>3923</v>
      </c>
      <c r="E21" s="90" t="s">
        <v>137</v>
      </c>
      <c r="F21" s="74">
        <v>5.7</v>
      </c>
      <c r="G21" s="75" t="s">
        <v>143</v>
      </c>
      <c r="H21" s="25"/>
      <c r="I21" s="57"/>
      <c r="J21" s="26">
        <v>6.8</v>
      </c>
      <c r="K21" s="75" t="s">
        <v>143</v>
      </c>
      <c r="L21" s="25"/>
      <c r="M21" s="57"/>
      <c r="N21" s="25"/>
      <c r="O21" s="57"/>
      <c r="P21" s="25"/>
      <c r="Q21" s="57"/>
      <c r="R21" s="25"/>
      <c r="S21" s="57"/>
      <c r="T21" s="25"/>
      <c r="U21" s="57"/>
      <c r="V21" s="25"/>
      <c r="W21" s="57"/>
    </row>
    <row r="22" spans="1:23" x14ac:dyDescent="0.15">
      <c r="A22" s="23" t="s">
        <v>29</v>
      </c>
      <c r="B22" s="24" t="s">
        <v>89</v>
      </c>
      <c r="C22" s="24" t="s">
        <v>99</v>
      </c>
      <c r="D22" s="85">
        <v>1</v>
      </c>
      <c r="E22" s="86" t="s">
        <v>137</v>
      </c>
      <c r="F22" s="25"/>
      <c r="G22" s="57"/>
      <c r="H22" s="25">
        <v>6.9</v>
      </c>
      <c r="I22" s="57" t="s">
        <v>143</v>
      </c>
      <c r="J22" s="76" t="s">
        <v>163</v>
      </c>
      <c r="K22" s="57" t="s">
        <v>143</v>
      </c>
      <c r="L22" s="25"/>
      <c r="M22" s="57"/>
      <c r="N22" s="25">
        <v>6.75</v>
      </c>
      <c r="O22" s="57" t="s">
        <v>143</v>
      </c>
      <c r="P22" s="25">
        <v>7.5</v>
      </c>
      <c r="Q22" s="57" t="s">
        <v>143</v>
      </c>
      <c r="R22" s="25">
        <v>7.1</v>
      </c>
      <c r="S22" s="57" t="s">
        <v>143</v>
      </c>
      <c r="T22" s="25">
        <v>12</v>
      </c>
      <c r="U22" s="57" t="s">
        <v>143</v>
      </c>
      <c r="V22" s="25">
        <v>0</v>
      </c>
      <c r="W22" s="57" t="s">
        <v>143</v>
      </c>
    </row>
    <row r="23" spans="1:23" x14ac:dyDescent="0.15">
      <c r="A23" s="23"/>
      <c r="B23" s="24"/>
      <c r="C23" s="123" t="s">
        <v>175</v>
      </c>
      <c r="D23" s="89">
        <v>1</v>
      </c>
      <c r="E23" s="90" t="s">
        <v>137</v>
      </c>
      <c r="F23" s="74">
        <v>6</v>
      </c>
      <c r="G23" s="75" t="s">
        <v>143</v>
      </c>
      <c r="H23" s="25"/>
      <c r="I23" s="57"/>
      <c r="J23" s="26"/>
      <c r="K23" s="57"/>
      <c r="L23" s="117">
        <v>5.95</v>
      </c>
      <c r="M23" s="57" t="s">
        <v>143</v>
      </c>
      <c r="N23" s="25"/>
      <c r="O23" s="57"/>
      <c r="P23" s="25"/>
      <c r="Q23" s="57"/>
      <c r="R23" s="25"/>
      <c r="S23" s="57"/>
      <c r="T23" s="25"/>
      <c r="U23" s="57"/>
      <c r="V23" s="25"/>
      <c r="W23" s="57"/>
    </row>
    <row r="24" spans="1:23" x14ac:dyDescent="0.15">
      <c r="A24" s="23"/>
      <c r="B24" s="24"/>
      <c r="C24" s="123" t="s">
        <v>176</v>
      </c>
      <c r="D24" s="89">
        <v>1</v>
      </c>
      <c r="E24" s="90" t="s">
        <v>137</v>
      </c>
      <c r="F24" s="74">
        <v>7.1</v>
      </c>
      <c r="G24" s="75" t="s">
        <v>143</v>
      </c>
      <c r="H24" s="25"/>
      <c r="I24" s="57"/>
      <c r="J24" s="26"/>
      <c r="K24" s="57"/>
      <c r="L24" s="25"/>
      <c r="M24" s="57"/>
      <c r="N24" s="25"/>
      <c r="O24" s="57"/>
      <c r="P24" s="25"/>
      <c r="Q24" s="57"/>
      <c r="R24" s="25"/>
      <c r="S24" s="57"/>
      <c r="T24" s="25"/>
      <c r="U24" s="57"/>
      <c r="V24" s="25"/>
      <c r="W24" s="57"/>
    </row>
    <row r="25" spans="1:23" x14ac:dyDescent="0.15">
      <c r="A25" s="23" t="s">
        <v>30</v>
      </c>
      <c r="B25" s="24" t="s">
        <v>89</v>
      </c>
      <c r="C25" s="24" t="s">
        <v>100</v>
      </c>
      <c r="D25" s="85">
        <v>1</v>
      </c>
      <c r="E25" s="86" t="s">
        <v>137</v>
      </c>
      <c r="F25" s="25">
        <v>13.8</v>
      </c>
      <c r="G25" s="57" t="s">
        <v>143</v>
      </c>
      <c r="H25" s="25">
        <v>14.9</v>
      </c>
      <c r="I25" s="57" t="s">
        <v>143</v>
      </c>
      <c r="J25" s="26">
        <v>24</v>
      </c>
      <c r="K25" s="57" t="s">
        <v>143</v>
      </c>
      <c r="L25" s="117">
        <v>7.25</v>
      </c>
      <c r="M25" s="57" t="s">
        <v>143</v>
      </c>
      <c r="N25" s="25">
        <v>13.15</v>
      </c>
      <c r="O25" s="57" t="s">
        <v>143</v>
      </c>
      <c r="P25" s="25">
        <v>15.5</v>
      </c>
      <c r="Q25" s="57" t="s">
        <v>143</v>
      </c>
      <c r="R25" s="25">
        <v>11.5</v>
      </c>
      <c r="S25" s="57" t="s">
        <v>143</v>
      </c>
      <c r="T25" s="25">
        <v>18</v>
      </c>
      <c r="U25" s="57" t="s">
        <v>143</v>
      </c>
      <c r="V25" s="25">
        <v>0</v>
      </c>
      <c r="W25" s="57" t="s">
        <v>143</v>
      </c>
    </row>
    <row r="26" spans="1:23" x14ac:dyDescent="0.15">
      <c r="A26" s="23" t="s">
        <v>31</v>
      </c>
      <c r="B26" s="24" t="s">
        <v>89</v>
      </c>
      <c r="C26" s="24" t="s">
        <v>101</v>
      </c>
      <c r="D26" s="85">
        <v>1</v>
      </c>
      <c r="E26" s="86" t="s">
        <v>137</v>
      </c>
      <c r="F26" s="25">
        <v>16.7</v>
      </c>
      <c r="G26" s="57" t="s">
        <v>143</v>
      </c>
      <c r="H26" s="25">
        <v>19.899999999999999</v>
      </c>
      <c r="I26" s="57" t="s">
        <v>143</v>
      </c>
      <c r="J26" s="76" t="s">
        <v>163</v>
      </c>
      <c r="K26" s="57" t="s">
        <v>143</v>
      </c>
      <c r="L26" s="25">
        <v>13.95</v>
      </c>
      <c r="M26" s="57" t="s">
        <v>143</v>
      </c>
      <c r="N26" s="25">
        <v>18.95</v>
      </c>
      <c r="O26" s="57" t="s">
        <v>143</v>
      </c>
      <c r="P26" s="25">
        <v>15.5</v>
      </c>
      <c r="Q26" s="57" t="s">
        <v>143</v>
      </c>
      <c r="R26" s="117">
        <v>12.75</v>
      </c>
      <c r="S26" s="57" t="s">
        <v>143</v>
      </c>
      <c r="T26" s="25">
        <v>18</v>
      </c>
      <c r="U26" s="57" t="s">
        <v>143</v>
      </c>
      <c r="V26" s="25">
        <v>0</v>
      </c>
      <c r="W26" s="57" t="s">
        <v>143</v>
      </c>
    </row>
    <row r="27" spans="1:23" x14ac:dyDescent="0.15">
      <c r="A27" s="28" t="s">
        <v>20</v>
      </c>
      <c r="B27" s="29"/>
      <c r="C27" s="29" t="s">
        <v>91</v>
      </c>
      <c r="D27" s="91"/>
      <c r="E27" s="92"/>
      <c r="F27" s="30"/>
      <c r="G27" s="58">
        <f>SUM(G12:G26)</f>
        <v>256631.95</v>
      </c>
      <c r="H27" s="30"/>
      <c r="I27" s="58">
        <f>SUM(I12:I26)</f>
        <v>255234.35000000003</v>
      </c>
      <c r="J27" s="30"/>
      <c r="K27" s="58">
        <f>SUM(K12:K26)</f>
        <v>265366.33</v>
      </c>
      <c r="L27" s="30"/>
      <c r="M27" s="58">
        <f>SUM(M12:M26)</f>
        <v>277381.05</v>
      </c>
      <c r="N27" s="30"/>
      <c r="O27" s="58">
        <f>SUM(O12:O26)</f>
        <v>290167.80000000005</v>
      </c>
      <c r="P27" s="30"/>
      <c r="Q27" s="58">
        <f>SUM(Q12:Q26)</f>
        <v>278549</v>
      </c>
      <c r="R27" s="30"/>
      <c r="S27" s="58">
        <f>SUM(S12:S26)</f>
        <v>284265.52</v>
      </c>
      <c r="T27" s="30"/>
      <c r="U27" s="58">
        <f>SUM(U12:U26)</f>
        <v>307672</v>
      </c>
      <c r="V27" s="30"/>
      <c r="W27" s="58">
        <f>SUM(W12:W26)</f>
        <v>0</v>
      </c>
    </row>
    <row r="28" spans="1:23" x14ac:dyDescent="0.15">
      <c r="A28" s="23"/>
      <c r="B28" s="24"/>
      <c r="C28" s="24"/>
      <c r="D28" s="85"/>
      <c r="E28" s="86"/>
      <c r="F28" s="25"/>
      <c r="G28" s="57"/>
      <c r="H28" s="25"/>
      <c r="I28" s="57"/>
      <c r="J28" s="26"/>
      <c r="K28" s="57"/>
      <c r="L28" s="25"/>
      <c r="M28" s="57"/>
      <c r="N28" s="25"/>
      <c r="O28" s="57"/>
      <c r="P28" s="25"/>
      <c r="Q28" s="57"/>
      <c r="R28" s="25"/>
      <c r="S28" s="57"/>
      <c r="T28" s="25"/>
      <c r="U28" s="57"/>
      <c r="V28" s="25"/>
      <c r="W28" s="57"/>
    </row>
    <row r="29" spans="1:23" x14ac:dyDescent="0.15">
      <c r="A29" s="23" t="s">
        <v>33</v>
      </c>
      <c r="B29" s="24"/>
      <c r="C29" s="24" t="s">
        <v>92</v>
      </c>
      <c r="D29" s="85">
        <v>1885</v>
      </c>
      <c r="E29" s="86" t="s">
        <v>135</v>
      </c>
      <c r="F29" s="117">
        <v>3.6</v>
      </c>
      <c r="G29" s="57">
        <f>$D29*F29</f>
        <v>6786</v>
      </c>
      <c r="H29" s="25">
        <v>7.75</v>
      </c>
      <c r="I29" s="57">
        <f>$D29*H29</f>
        <v>14608.75</v>
      </c>
      <c r="J29" s="26">
        <v>6.8</v>
      </c>
      <c r="K29" s="57">
        <f t="shared" ref="K29" si="6">$D29*J29</f>
        <v>12818</v>
      </c>
      <c r="L29" s="25">
        <v>5.65</v>
      </c>
      <c r="M29" s="57">
        <f>$D29*L29</f>
        <v>10650.25</v>
      </c>
      <c r="N29" s="25">
        <v>5.0999999999999996</v>
      </c>
      <c r="O29" s="57">
        <f>$D29*N29</f>
        <v>9613.5</v>
      </c>
      <c r="P29" s="25">
        <v>6.5</v>
      </c>
      <c r="Q29" s="57">
        <f>$D29*P29</f>
        <v>12252.5</v>
      </c>
      <c r="R29" s="25">
        <v>5.27</v>
      </c>
      <c r="S29" s="57">
        <f>$D29*R29</f>
        <v>9933.9499999999989</v>
      </c>
      <c r="T29" s="25">
        <v>6</v>
      </c>
      <c r="U29" s="57">
        <f>$D29*T29</f>
        <v>11310</v>
      </c>
      <c r="V29" s="25">
        <v>0</v>
      </c>
      <c r="W29" s="57">
        <f t="shared" ref="W29" si="7">$D29*V29</f>
        <v>0</v>
      </c>
    </row>
    <row r="30" spans="1:23" x14ac:dyDescent="0.15">
      <c r="A30" s="23" t="s">
        <v>34</v>
      </c>
      <c r="B30" s="24"/>
      <c r="C30" s="24" t="s">
        <v>103</v>
      </c>
      <c r="D30" s="85">
        <v>1885</v>
      </c>
      <c r="E30" s="86" t="s">
        <v>135</v>
      </c>
      <c r="F30" s="25">
        <v>38.15</v>
      </c>
      <c r="G30" s="57">
        <f>$D30*F30</f>
        <v>71912.75</v>
      </c>
      <c r="H30" s="25">
        <v>37.69</v>
      </c>
      <c r="I30" s="57">
        <f>$D30*H30</f>
        <v>71045.649999999994</v>
      </c>
      <c r="J30" s="118">
        <v>37</v>
      </c>
      <c r="K30" s="57">
        <f t="shared" ref="K30" si="8">$D30*J30</f>
        <v>69745</v>
      </c>
      <c r="L30" s="25">
        <v>41.45</v>
      </c>
      <c r="M30" s="57">
        <f>$D30*L30</f>
        <v>78133.25</v>
      </c>
      <c r="N30" s="25">
        <v>40.15</v>
      </c>
      <c r="O30" s="57">
        <f>$D30*N30</f>
        <v>75682.75</v>
      </c>
      <c r="P30" s="25">
        <v>38.799999999999997</v>
      </c>
      <c r="Q30" s="57">
        <f>$D30*P30</f>
        <v>73138</v>
      </c>
      <c r="R30" s="25">
        <v>40.33</v>
      </c>
      <c r="S30" s="57">
        <f>$D30*R30</f>
        <v>76022.05</v>
      </c>
      <c r="T30" s="25">
        <v>41</v>
      </c>
      <c r="U30" s="57">
        <f>$D30*T30</f>
        <v>77285</v>
      </c>
      <c r="V30" s="25">
        <v>0</v>
      </c>
      <c r="W30" s="57">
        <f t="shared" ref="W30" si="9">$D30*V30</f>
        <v>0</v>
      </c>
    </row>
    <row r="31" spans="1:23" x14ac:dyDescent="0.15">
      <c r="A31" s="23" t="s">
        <v>35</v>
      </c>
      <c r="B31" s="24"/>
      <c r="C31" s="24" t="s">
        <v>104</v>
      </c>
      <c r="D31" s="85">
        <v>1351</v>
      </c>
      <c r="E31" s="86" t="s">
        <v>137</v>
      </c>
      <c r="F31" s="117">
        <v>3.45</v>
      </c>
      <c r="G31" s="57">
        <f>$D31*F31</f>
        <v>4660.95</v>
      </c>
      <c r="H31" s="25">
        <v>4.9000000000000004</v>
      </c>
      <c r="I31" s="57">
        <f>$D31*H31</f>
        <v>6619.9000000000005</v>
      </c>
      <c r="J31" s="26">
        <v>5.6</v>
      </c>
      <c r="K31" s="57">
        <f t="shared" ref="K31" si="10">$D31*J31</f>
        <v>7565.5999999999995</v>
      </c>
      <c r="L31" s="25">
        <v>6.75</v>
      </c>
      <c r="M31" s="57">
        <f>$D31*L31</f>
        <v>9119.25</v>
      </c>
      <c r="N31" s="25">
        <v>4.8</v>
      </c>
      <c r="O31" s="57">
        <f>$D31*N31</f>
        <v>6484.8</v>
      </c>
      <c r="P31" s="25">
        <v>4.5</v>
      </c>
      <c r="Q31" s="57">
        <f>$D31*P31</f>
        <v>6079.5</v>
      </c>
      <c r="R31" s="25">
        <v>5</v>
      </c>
      <c r="S31" s="57">
        <f>$D31*R31</f>
        <v>6755</v>
      </c>
      <c r="T31" s="25">
        <v>7</v>
      </c>
      <c r="U31" s="57">
        <f>$D31*T31</f>
        <v>9457</v>
      </c>
      <c r="V31" s="25">
        <v>0</v>
      </c>
      <c r="W31" s="57">
        <f t="shared" ref="W31" si="11">$D31*V31</f>
        <v>0</v>
      </c>
    </row>
    <row r="32" spans="1:23" x14ac:dyDescent="0.15">
      <c r="A32" s="23" t="s">
        <v>36</v>
      </c>
      <c r="B32" s="24" t="s">
        <v>89</v>
      </c>
      <c r="C32" s="24" t="s">
        <v>105</v>
      </c>
      <c r="D32" s="85">
        <v>1</v>
      </c>
      <c r="E32" s="86" t="s">
        <v>137</v>
      </c>
      <c r="F32" s="117">
        <v>3.85</v>
      </c>
      <c r="G32" s="57" t="s">
        <v>143</v>
      </c>
      <c r="H32" s="25">
        <v>5.9</v>
      </c>
      <c r="I32" s="57" t="s">
        <v>143</v>
      </c>
      <c r="J32" s="76" t="s">
        <v>163</v>
      </c>
      <c r="K32" s="57" t="s">
        <v>143</v>
      </c>
      <c r="L32" s="25">
        <v>5.3</v>
      </c>
      <c r="M32" s="57" t="s">
        <v>143</v>
      </c>
      <c r="N32" s="25">
        <v>6.4</v>
      </c>
      <c r="O32" s="57" t="s">
        <v>143</v>
      </c>
      <c r="P32" s="25">
        <v>8.5</v>
      </c>
      <c r="Q32" s="57" t="s">
        <v>143</v>
      </c>
      <c r="R32" s="25">
        <v>7.45</v>
      </c>
      <c r="S32" s="57" t="s">
        <v>143</v>
      </c>
      <c r="T32" s="25">
        <v>10</v>
      </c>
      <c r="U32" s="57" t="s">
        <v>143</v>
      </c>
      <c r="V32" s="25">
        <v>0</v>
      </c>
      <c r="W32" s="57" t="s">
        <v>143</v>
      </c>
    </row>
    <row r="33" spans="1:23" x14ac:dyDescent="0.15">
      <c r="A33" s="23" t="s">
        <v>37</v>
      </c>
      <c r="B33" s="24" t="s">
        <v>89</v>
      </c>
      <c r="C33" s="24" t="s">
        <v>106</v>
      </c>
      <c r="D33" s="85">
        <v>1</v>
      </c>
      <c r="E33" s="86" t="s">
        <v>137</v>
      </c>
      <c r="F33" s="70" t="s">
        <v>163</v>
      </c>
      <c r="G33" s="57" t="s">
        <v>143</v>
      </c>
      <c r="H33" s="25">
        <v>8.9</v>
      </c>
      <c r="I33" s="57" t="s">
        <v>143</v>
      </c>
      <c r="J33" s="76" t="s">
        <v>163</v>
      </c>
      <c r="K33" s="57" t="s">
        <v>143</v>
      </c>
      <c r="L33" s="25">
        <v>9.5</v>
      </c>
      <c r="M33" s="57" t="s">
        <v>143</v>
      </c>
      <c r="N33" s="25">
        <v>7.95</v>
      </c>
      <c r="O33" s="57" t="s">
        <v>143</v>
      </c>
      <c r="P33" s="25">
        <v>8.5</v>
      </c>
      <c r="Q33" s="57" t="s">
        <v>143</v>
      </c>
      <c r="R33" s="117">
        <v>7.2</v>
      </c>
      <c r="S33" s="57" t="s">
        <v>143</v>
      </c>
      <c r="T33" s="25">
        <v>12.5</v>
      </c>
      <c r="U33" s="57" t="s">
        <v>143</v>
      </c>
      <c r="V33" s="25">
        <v>0</v>
      </c>
      <c r="W33" s="57" t="s">
        <v>143</v>
      </c>
    </row>
    <row r="34" spans="1:23" x14ac:dyDescent="0.15">
      <c r="A34" s="23" t="s">
        <v>38</v>
      </c>
      <c r="B34" s="24"/>
      <c r="C34" s="24" t="s">
        <v>107</v>
      </c>
      <c r="D34" s="85">
        <v>1885</v>
      </c>
      <c r="E34" s="86" t="s">
        <v>135</v>
      </c>
      <c r="F34" s="25">
        <v>1.7</v>
      </c>
      <c r="G34" s="57">
        <f>$D34*F34</f>
        <v>3204.5</v>
      </c>
      <c r="H34" s="25">
        <v>3.9</v>
      </c>
      <c r="I34" s="57">
        <f>$D34*H34</f>
        <v>7351.5</v>
      </c>
      <c r="J34" s="76" t="s">
        <v>163</v>
      </c>
      <c r="K34" s="57"/>
      <c r="L34" s="117">
        <v>1.5</v>
      </c>
      <c r="M34" s="57">
        <f>$D34*L34</f>
        <v>2827.5</v>
      </c>
      <c r="N34" s="25">
        <v>2.0499999999999998</v>
      </c>
      <c r="O34" s="57">
        <f>$D34*N34</f>
        <v>3864.2499999999995</v>
      </c>
      <c r="P34" s="25">
        <v>4.5</v>
      </c>
      <c r="Q34" s="57">
        <f>$D34*P34</f>
        <v>8482.5</v>
      </c>
      <c r="R34" s="25">
        <v>2.66</v>
      </c>
      <c r="S34" s="57">
        <f>$D34*R34</f>
        <v>5014.1000000000004</v>
      </c>
      <c r="T34" s="25">
        <v>3.8</v>
      </c>
      <c r="U34" s="57">
        <f>$D34*T34</f>
        <v>7163</v>
      </c>
      <c r="V34" s="25">
        <v>0</v>
      </c>
      <c r="W34" s="57">
        <f t="shared" ref="W34" si="12">$D34*V34</f>
        <v>0</v>
      </c>
    </row>
    <row r="35" spans="1:23" x14ac:dyDescent="0.15">
      <c r="A35" s="23" t="s">
        <v>39</v>
      </c>
      <c r="B35" s="24" t="s">
        <v>89</v>
      </c>
      <c r="C35" s="24" t="s">
        <v>108</v>
      </c>
      <c r="D35" s="85">
        <v>1</v>
      </c>
      <c r="E35" s="86" t="s">
        <v>137</v>
      </c>
      <c r="F35" s="25">
        <v>24.8</v>
      </c>
      <c r="G35" s="57" t="s">
        <v>143</v>
      </c>
      <c r="H35" s="25">
        <v>20.9</v>
      </c>
      <c r="I35" s="57" t="s">
        <v>143</v>
      </c>
      <c r="J35" s="26">
        <v>29</v>
      </c>
      <c r="K35" s="57" t="s">
        <v>143</v>
      </c>
      <c r="L35" s="25">
        <v>13.9</v>
      </c>
      <c r="M35" s="57" t="s">
        <v>143</v>
      </c>
      <c r="N35" s="25">
        <v>13.15</v>
      </c>
      <c r="O35" s="57" t="s">
        <v>143</v>
      </c>
      <c r="P35" s="25">
        <v>15.5</v>
      </c>
      <c r="Q35" s="57" t="s">
        <v>143</v>
      </c>
      <c r="R35" s="117">
        <v>11.5</v>
      </c>
      <c r="S35" s="57" t="s">
        <v>143</v>
      </c>
      <c r="T35" s="25">
        <v>18</v>
      </c>
      <c r="U35" s="57" t="s">
        <v>143</v>
      </c>
      <c r="V35" s="25">
        <v>0</v>
      </c>
      <c r="W35" s="57" t="s">
        <v>143</v>
      </c>
    </row>
    <row r="36" spans="1:23" ht="30" x14ac:dyDescent="0.15">
      <c r="A36" s="23" t="s">
        <v>40</v>
      </c>
      <c r="B36" s="24" t="s">
        <v>89</v>
      </c>
      <c r="C36" s="27" t="s">
        <v>109</v>
      </c>
      <c r="D36" s="85">
        <v>1</v>
      </c>
      <c r="E36" s="86" t="s">
        <v>135</v>
      </c>
      <c r="F36" s="70" t="s">
        <v>163</v>
      </c>
      <c r="G36" s="57" t="s">
        <v>143</v>
      </c>
      <c r="H36" s="117">
        <v>6.9</v>
      </c>
      <c r="I36" s="57" t="s">
        <v>143</v>
      </c>
      <c r="J36" s="26">
        <v>6.8</v>
      </c>
      <c r="K36" s="57" t="s">
        <v>143</v>
      </c>
      <c r="L36" s="25">
        <v>14.45</v>
      </c>
      <c r="M36" s="57" t="s">
        <v>143</v>
      </c>
      <c r="N36" s="25">
        <v>18.2</v>
      </c>
      <c r="O36" s="57" t="s">
        <v>143</v>
      </c>
      <c r="P36" s="25">
        <v>6.5</v>
      </c>
      <c r="Q36" s="57" t="s">
        <v>143</v>
      </c>
      <c r="R36" s="25">
        <v>7.65</v>
      </c>
      <c r="S36" s="57" t="s">
        <v>143</v>
      </c>
      <c r="T36" s="25">
        <v>18</v>
      </c>
      <c r="U36" s="57" t="s">
        <v>143</v>
      </c>
      <c r="V36" s="25">
        <v>0</v>
      </c>
      <c r="W36" s="57" t="s">
        <v>143</v>
      </c>
    </row>
    <row r="37" spans="1:23" x14ac:dyDescent="0.15">
      <c r="A37" s="23" t="s">
        <v>41</v>
      </c>
      <c r="B37" s="24" t="s">
        <v>89</v>
      </c>
      <c r="C37" s="24" t="s">
        <v>110</v>
      </c>
      <c r="D37" s="85">
        <v>1</v>
      </c>
      <c r="E37" s="86" t="s">
        <v>135</v>
      </c>
      <c r="F37" s="117">
        <v>16.8</v>
      </c>
      <c r="G37" s="57" t="s">
        <v>143</v>
      </c>
      <c r="H37" s="25">
        <v>19.899999999999999</v>
      </c>
      <c r="I37" s="57" t="s">
        <v>143</v>
      </c>
      <c r="J37" s="76" t="s">
        <v>163</v>
      </c>
      <c r="K37" s="57" t="s">
        <v>143</v>
      </c>
      <c r="L37" s="25">
        <v>19.75</v>
      </c>
      <c r="M37" s="57" t="s">
        <v>143</v>
      </c>
      <c r="N37" s="70" t="s">
        <v>163</v>
      </c>
      <c r="O37" s="57" t="s">
        <v>143</v>
      </c>
      <c r="P37" s="25">
        <v>22.5</v>
      </c>
      <c r="Q37" s="57" t="s">
        <v>143</v>
      </c>
      <c r="R37" s="25">
        <v>17.04</v>
      </c>
      <c r="S37" s="57" t="s">
        <v>143</v>
      </c>
      <c r="T37" s="25">
        <v>25</v>
      </c>
      <c r="U37" s="57" t="s">
        <v>143</v>
      </c>
      <c r="V37" s="25">
        <v>0</v>
      </c>
      <c r="W37" s="57" t="s">
        <v>143</v>
      </c>
    </row>
    <row r="38" spans="1:23" x14ac:dyDescent="0.15">
      <c r="A38" s="23" t="s">
        <v>42</v>
      </c>
      <c r="B38" s="24" t="s">
        <v>89</v>
      </c>
      <c r="C38" s="24" t="s">
        <v>111</v>
      </c>
      <c r="D38" s="85">
        <v>1</v>
      </c>
      <c r="E38" s="86" t="s">
        <v>135</v>
      </c>
      <c r="F38" s="70" t="s">
        <v>163</v>
      </c>
      <c r="G38" s="57" t="s">
        <v>143</v>
      </c>
      <c r="H38" s="25">
        <v>21.9</v>
      </c>
      <c r="I38" s="57" t="s">
        <v>143</v>
      </c>
      <c r="J38" s="76" t="s">
        <v>163</v>
      </c>
      <c r="K38" s="57" t="s">
        <v>143</v>
      </c>
      <c r="L38" s="25">
        <v>23.6</v>
      </c>
      <c r="M38" s="57" t="s">
        <v>143</v>
      </c>
      <c r="N38" s="70" t="s">
        <v>163</v>
      </c>
      <c r="O38" s="57" t="s">
        <v>143</v>
      </c>
      <c r="P38" s="25">
        <v>23.5</v>
      </c>
      <c r="Q38" s="57" t="s">
        <v>143</v>
      </c>
      <c r="R38" s="25">
        <v>18.36</v>
      </c>
      <c r="S38" s="57" t="s">
        <v>143</v>
      </c>
      <c r="T38" s="25">
        <v>28</v>
      </c>
      <c r="U38" s="57" t="s">
        <v>143</v>
      </c>
      <c r="V38" s="25">
        <v>0</v>
      </c>
      <c r="W38" s="57" t="s">
        <v>143</v>
      </c>
    </row>
    <row r="39" spans="1:23" x14ac:dyDescent="0.15">
      <c r="A39" s="28" t="s">
        <v>32</v>
      </c>
      <c r="B39" s="29"/>
      <c r="C39" s="29" t="s">
        <v>102</v>
      </c>
      <c r="D39" s="91"/>
      <c r="E39" s="92"/>
      <c r="F39" s="30"/>
      <c r="G39" s="58">
        <f>SUM(G29:G38)</f>
        <v>86564.2</v>
      </c>
      <c r="H39" s="30"/>
      <c r="I39" s="58">
        <f>SUM(I29:I38)</f>
        <v>99625.799999999988</v>
      </c>
      <c r="J39" s="31"/>
      <c r="K39" s="58">
        <f>SUM(K29:K38)</f>
        <v>90128.6</v>
      </c>
      <c r="L39" s="30"/>
      <c r="M39" s="58">
        <f>SUM(M29:M38)</f>
        <v>100730.25</v>
      </c>
      <c r="N39" s="30"/>
      <c r="O39" s="58">
        <f>SUM(O29:O38)</f>
        <v>95645.3</v>
      </c>
      <c r="P39" s="30"/>
      <c r="Q39" s="58">
        <f>SUM(Q29:Q38)</f>
        <v>99952.5</v>
      </c>
      <c r="R39" s="30"/>
      <c r="S39" s="58">
        <f>SUM(S29:S38)</f>
        <v>97725.1</v>
      </c>
      <c r="T39" s="30"/>
      <c r="U39" s="58">
        <f>SUM(U29:U38)</f>
        <v>105215</v>
      </c>
      <c r="V39" s="30"/>
      <c r="W39" s="58">
        <f>SUM(W29:W38)</f>
        <v>0</v>
      </c>
    </row>
    <row r="40" spans="1:23" x14ac:dyDescent="0.15">
      <c r="A40" s="23"/>
      <c r="B40" s="24"/>
      <c r="C40" s="24"/>
      <c r="D40" s="85"/>
      <c r="E40" s="86"/>
      <c r="F40" s="25"/>
      <c r="G40" s="57"/>
      <c r="H40" s="25"/>
      <c r="I40" s="57"/>
      <c r="J40" s="26"/>
      <c r="K40" s="57"/>
      <c r="L40" s="25"/>
      <c r="M40" s="57"/>
      <c r="N40" s="25"/>
      <c r="O40" s="57"/>
      <c r="P40" s="25"/>
      <c r="Q40" s="57"/>
      <c r="R40" s="25"/>
      <c r="S40" s="57"/>
      <c r="T40" s="25"/>
      <c r="U40" s="57"/>
      <c r="V40" s="25"/>
      <c r="W40" s="57"/>
    </row>
    <row r="41" spans="1:23" x14ac:dyDescent="0.15">
      <c r="A41" s="23" t="s">
        <v>44</v>
      </c>
      <c r="B41" s="24"/>
      <c r="C41" s="24" t="s">
        <v>113</v>
      </c>
      <c r="D41" s="85">
        <v>55</v>
      </c>
      <c r="E41" s="86" t="s">
        <v>135</v>
      </c>
      <c r="F41" s="25">
        <v>5.6</v>
      </c>
      <c r="G41" s="57">
        <f t="shared" ref="G41:G47" si="13">$D41*F41</f>
        <v>308</v>
      </c>
      <c r="H41" s="25">
        <v>7.75</v>
      </c>
      <c r="I41" s="57">
        <f t="shared" ref="I41:I47" si="14">$D41*H41</f>
        <v>426.25</v>
      </c>
      <c r="J41" s="26">
        <v>6.8</v>
      </c>
      <c r="K41" s="57">
        <f t="shared" ref="K41" si="15">$D41*J41</f>
        <v>374</v>
      </c>
      <c r="L41" s="25">
        <v>5.65</v>
      </c>
      <c r="M41" s="57">
        <f t="shared" ref="M41:M47" si="16">$D41*L41</f>
        <v>310.75</v>
      </c>
      <c r="N41" s="117">
        <v>5.0999999999999996</v>
      </c>
      <c r="O41" s="57">
        <f t="shared" ref="O41:O47" si="17">$D41*N41</f>
        <v>280.5</v>
      </c>
      <c r="P41" s="25">
        <v>8.5</v>
      </c>
      <c r="Q41" s="57">
        <f t="shared" ref="Q41:Q47" si="18">$D41*P41</f>
        <v>467.5</v>
      </c>
      <c r="R41" s="25">
        <v>5.69</v>
      </c>
      <c r="S41" s="57">
        <f t="shared" ref="S41:S47" si="19">$D41*R41</f>
        <v>312.95000000000005</v>
      </c>
      <c r="T41" s="25">
        <v>6</v>
      </c>
      <c r="U41" s="57">
        <f t="shared" ref="U41:U47" si="20">$D41*T41</f>
        <v>330</v>
      </c>
      <c r="V41" s="25">
        <v>0</v>
      </c>
      <c r="W41" s="57">
        <f t="shared" ref="W41" si="21">$D41*V41</f>
        <v>0</v>
      </c>
    </row>
    <row r="42" spans="1:23" x14ac:dyDescent="0.15">
      <c r="A42" s="23" t="s">
        <v>45</v>
      </c>
      <c r="B42" s="24"/>
      <c r="C42" s="24" t="s">
        <v>114</v>
      </c>
      <c r="D42" s="85">
        <v>81</v>
      </c>
      <c r="E42" s="86" t="s">
        <v>135</v>
      </c>
      <c r="F42" s="25">
        <v>5.6</v>
      </c>
      <c r="G42" s="57">
        <f t="shared" si="13"/>
        <v>453.59999999999997</v>
      </c>
      <c r="H42" s="25">
        <v>7.75</v>
      </c>
      <c r="I42" s="57">
        <f t="shared" si="14"/>
        <v>627.75</v>
      </c>
      <c r="J42" s="26">
        <v>6.8</v>
      </c>
      <c r="K42" s="57">
        <f t="shared" ref="K42" si="22">$D42*J42</f>
        <v>550.79999999999995</v>
      </c>
      <c r="L42" s="25">
        <v>5.65</v>
      </c>
      <c r="M42" s="57">
        <f t="shared" si="16"/>
        <v>457.65000000000003</v>
      </c>
      <c r="N42" s="117">
        <v>5.0999999999999996</v>
      </c>
      <c r="O42" s="57">
        <f t="shared" si="17"/>
        <v>413.09999999999997</v>
      </c>
      <c r="P42" s="25">
        <v>8.5</v>
      </c>
      <c r="Q42" s="57">
        <f t="shared" si="18"/>
        <v>688.5</v>
      </c>
      <c r="R42" s="25">
        <v>5.27</v>
      </c>
      <c r="S42" s="57">
        <f t="shared" si="19"/>
        <v>426.86999999999995</v>
      </c>
      <c r="T42" s="25">
        <v>6</v>
      </c>
      <c r="U42" s="57">
        <f t="shared" si="20"/>
        <v>486</v>
      </c>
      <c r="V42" s="25">
        <v>0</v>
      </c>
      <c r="W42" s="57">
        <f t="shared" ref="W42" si="23">$D42*V42</f>
        <v>0</v>
      </c>
    </row>
    <row r="43" spans="1:23" x14ac:dyDescent="0.15">
      <c r="A43" s="23" t="s">
        <v>46</v>
      </c>
      <c r="B43" s="24"/>
      <c r="C43" s="24" t="s">
        <v>115</v>
      </c>
      <c r="D43" s="85">
        <v>186</v>
      </c>
      <c r="E43" s="86" t="s">
        <v>135</v>
      </c>
      <c r="F43" s="70" t="s">
        <v>163</v>
      </c>
      <c r="G43" s="57"/>
      <c r="H43" s="25">
        <v>1.95</v>
      </c>
      <c r="I43" s="57">
        <f t="shared" si="14"/>
        <v>362.7</v>
      </c>
      <c r="J43" s="26">
        <v>6.8</v>
      </c>
      <c r="K43" s="57">
        <f t="shared" ref="K43" si="24">$D43*J43</f>
        <v>1264.8</v>
      </c>
      <c r="L43" s="117">
        <v>1</v>
      </c>
      <c r="M43" s="57">
        <f t="shared" si="16"/>
        <v>186</v>
      </c>
      <c r="N43" s="70" t="s">
        <v>168</v>
      </c>
      <c r="O43" s="57"/>
      <c r="P43" s="25">
        <v>2</v>
      </c>
      <c r="Q43" s="57">
        <f t="shared" si="18"/>
        <v>372</v>
      </c>
      <c r="R43" s="25">
        <v>2.3199999999999998</v>
      </c>
      <c r="S43" s="57">
        <f t="shared" si="19"/>
        <v>431.52</v>
      </c>
      <c r="T43" s="25">
        <v>6</v>
      </c>
      <c r="U43" s="57">
        <f t="shared" si="20"/>
        <v>1116</v>
      </c>
      <c r="V43" s="25">
        <v>0</v>
      </c>
      <c r="W43" s="57">
        <f t="shared" ref="W43" si="25">$D43*V43</f>
        <v>0</v>
      </c>
    </row>
    <row r="44" spans="1:23" x14ac:dyDescent="0.15">
      <c r="A44" s="23" t="s">
        <v>47</v>
      </c>
      <c r="B44" s="24"/>
      <c r="C44" s="24" t="s">
        <v>116</v>
      </c>
      <c r="D44" s="85">
        <v>73</v>
      </c>
      <c r="E44" s="86" t="s">
        <v>135</v>
      </c>
      <c r="F44" s="25">
        <v>52.85</v>
      </c>
      <c r="G44" s="57">
        <f t="shared" si="13"/>
        <v>3858.05</v>
      </c>
      <c r="H44" s="25">
        <v>53.25</v>
      </c>
      <c r="I44" s="57">
        <f t="shared" si="14"/>
        <v>3887.25</v>
      </c>
      <c r="J44" s="26">
        <v>67</v>
      </c>
      <c r="K44" s="57">
        <f t="shared" ref="K44" si="26">$D44*J44</f>
        <v>4891</v>
      </c>
      <c r="L44" s="25">
        <v>56.45</v>
      </c>
      <c r="M44" s="57">
        <f t="shared" si="16"/>
        <v>4120.8500000000004</v>
      </c>
      <c r="N44" s="25">
        <v>58.5</v>
      </c>
      <c r="O44" s="57">
        <f t="shared" si="17"/>
        <v>4270.5</v>
      </c>
      <c r="P44" s="117">
        <v>52.5</v>
      </c>
      <c r="Q44" s="57">
        <f t="shared" si="18"/>
        <v>3832.5</v>
      </c>
      <c r="R44" s="25">
        <v>55.33</v>
      </c>
      <c r="S44" s="57">
        <f t="shared" si="19"/>
        <v>4039.0899999999997</v>
      </c>
      <c r="T44" s="25">
        <v>85</v>
      </c>
      <c r="U44" s="57">
        <f t="shared" si="20"/>
        <v>6205</v>
      </c>
      <c r="V44" s="25">
        <v>0</v>
      </c>
      <c r="W44" s="57">
        <f t="shared" ref="W44" si="27">$D44*V44</f>
        <v>0</v>
      </c>
    </row>
    <row r="45" spans="1:23" x14ac:dyDescent="0.15">
      <c r="A45" s="23" t="s">
        <v>48</v>
      </c>
      <c r="B45" s="24"/>
      <c r="C45" s="24" t="s">
        <v>117</v>
      </c>
      <c r="D45" s="85">
        <v>8</v>
      </c>
      <c r="E45" s="86" t="s">
        <v>135</v>
      </c>
      <c r="F45" s="25">
        <v>52.85</v>
      </c>
      <c r="G45" s="57">
        <f t="shared" si="13"/>
        <v>422.8</v>
      </c>
      <c r="H45" s="25">
        <v>53.25</v>
      </c>
      <c r="I45" s="57">
        <f t="shared" si="14"/>
        <v>426</v>
      </c>
      <c r="J45" s="26">
        <v>67</v>
      </c>
      <c r="K45" s="57">
        <f t="shared" ref="K45" si="28">$D45*J45</f>
        <v>536</v>
      </c>
      <c r="L45" s="25">
        <v>56.45</v>
      </c>
      <c r="M45" s="57">
        <f t="shared" si="16"/>
        <v>451.6</v>
      </c>
      <c r="N45" s="25">
        <v>58.5</v>
      </c>
      <c r="O45" s="57">
        <f t="shared" si="17"/>
        <v>468</v>
      </c>
      <c r="P45" s="117">
        <v>52.5</v>
      </c>
      <c r="Q45" s="57">
        <f t="shared" si="18"/>
        <v>420</v>
      </c>
      <c r="R45" s="25">
        <v>55.33</v>
      </c>
      <c r="S45" s="57">
        <f t="shared" si="19"/>
        <v>442.64</v>
      </c>
      <c r="T45" s="25">
        <v>85</v>
      </c>
      <c r="U45" s="57">
        <f t="shared" si="20"/>
        <v>680</v>
      </c>
      <c r="V45" s="25">
        <v>0</v>
      </c>
      <c r="W45" s="57">
        <f t="shared" ref="W45" si="29">$D45*V45</f>
        <v>0</v>
      </c>
    </row>
    <row r="46" spans="1:23" x14ac:dyDescent="0.15">
      <c r="A46" s="23" t="s">
        <v>49</v>
      </c>
      <c r="B46" s="24"/>
      <c r="C46" s="24" t="s">
        <v>118</v>
      </c>
      <c r="D46" s="85">
        <v>186</v>
      </c>
      <c r="E46" s="86" t="s">
        <v>135</v>
      </c>
      <c r="F46" s="25">
        <v>74</v>
      </c>
      <c r="G46" s="57">
        <f t="shared" si="13"/>
        <v>13764</v>
      </c>
      <c r="H46" s="25">
        <v>97.42</v>
      </c>
      <c r="I46" s="57">
        <f t="shared" si="14"/>
        <v>18120.12</v>
      </c>
      <c r="J46" s="26">
        <v>78</v>
      </c>
      <c r="K46" s="57">
        <f t="shared" ref="K46" si="30">$D46*J46</f>
        <v>14508</v>
      </c>
      <c r="L46" s="25">
        <v>63.05</v>
      </c>
      <c r="M46" s="57">
        <f t="shared" si="16"/>
        <v>11727.3</v>
      </c>
      <c r="N46" s="70" t="s">
        <v>168</v>
      </c>
      <c r="O46" s="57"/>
      <c r="P46" s="25">
        <v>67.8</v>
      </c>
      <c r="Q46" s="57">
        <f t="shared" si="18"/>
        <v>12610.8</v>
      </c>
      <c r="R46" s="117">
        <v>55.32</v>
      </c>
      <c r="S46" s="57">
        <f t="shared" si="19"/>
        <v>10289.52</v>
      </c>
      <c r="T46" s="25">
        <v>85</v>
      </c>
      <c r="U46" s="57">
        <f t="shared" si="20"/>
        <v>15810</v>
      </c>
      <c r="V46" s="25">
        <v>0</v>
      </c>
      <c r="W46" s="57">
        <f t="shared" ref="W46" si="31">$D46*V46</f>
        <v>0</v>
      </c>
    </row>
    <row r="47" spans="1:23" x14ac:dyDescent="0.15">
      <c r="A47" s="23" t="s">
        <v>50</v>
      </c>
      <c r="B47" s="24"/>
      <c r="C47" s="24" t="s">
        <v>119</v>
      </c>
      <c r="D47" s="85">
        <v>55</v>
      </c>
      <c r="E47" s="86" t="s">
        <v>135</v>
      </c>
      <c r="F47" s="25">
        <v>74</v>
      </c>
      <c r="G47" s="57">
        <f t="shared" si="13"/>
        <v>4070</v>
      </c>
      <c r="H47" s="25">
        <v>97.42</v>
      </c>
      <c r="I47" s="57">
        <f t="shared" si="14"/>
        <v>5358.1</v>
      </c>
      <c r="J47" s="26">
        <v>78</v>
      </c>
      <c r="K47" s="57">
        <f t="shared" ref="K47" si="32">$D47*J47</f>
        <v>4290</v>
      </c>
      <c r="L47" s="25">
        <v>79.599999999999994</v>
      </c>
      <c r="M47" s="57">
        <f t="shared" si="16"/>
        <v>4378</v>
      </c>
      <c r="N47" s="25">
        <v>72.400000000000006</v>
      </c>
      <c r="O47" s="57">
        <f t="shared" si="17"/>
        <v>3982.0000000000005</v>
      </c>
      <c r="P47" s="25">
        <v>67.8</v>
      </c>
      <c r="Q47" s="57">
        <f t="shared" si="18"/>
        <v>3729</v>
      </c>
      <c r="R47" s="117">
        <v>70.319999999999993</v>
      </c>
      <c r="S47" s="57">
        <f t="shared" si="19"/>
        <v>3867.5999999999995</v>
      </c>
      <c r="T47" s="25">
        <v>85</v>
      </c>
      <c r="U47" s="57">
        <f t="shared" si="20"/>
        <v>4675</v>
      </c>
      <c r="V47" s="25">
        <v>0</v>
      </c>
      <c r="W47" s="57">
        <f t="shared" ref="W47" si="33">$D47*V47</f>
        <v>0</v>
      </c>
    </row>
    <row r="48" spans="1:23" x14ac:dyDescent="0.15">
      <c r="A48" s="23" t="s">
        <v>51</v>
      </c>
      <c r="B48" s="24" t="s">
        <v>89</v>
      </c>
      <c r="C48" s="24" t="s">
        <v>120</v>
      </c>
      <c r="D48" s="85">
        <v>1</v>
      </c>
      <c r="E48" s="86" t="s">
        <v>135</v>
      </c>
      <c r="F48" s="70" t="s">
        <v>164</v>
      </c>
      <c r="G48" s="57"/>
      <c r="H48" s="25">
        <v>41.75</v>
      </c>
      <c r="I48" s="57" t="s">
        <v>143</v>
      </c>
      <c r="J48" s="76" t="s">
        <v>163</v>
      </c>
      <c r="K48" s="57" t="s">
        <v>143</v>
      </c>
      <c r="L48" s="117">
        <v>27.85</v>
      </c>
      <c r="M48" s="57" t="s">
        <v>143</v>
      </c>
      <c r="N48" s="70" t="s">
        <v>163</v>
      </c>
      <c r="O48" s="57" t="s">
        <v>143</v>
      </c>
      <c r="P48" s="25">
        <v>45.5</v>
      </c>
      <c r="Q48" s="57" t="s">
        <v>143</v>
      </c>
      <c r="R48" s="25">
        <v>32.5</v>
      </c>
      <c r="S48" s="57" t="s">
        <v>143</v>
      </c>
      <c r="T48" s="25"/>
      <c r="U48" s="57" t="s">
        <v>143</v>
      </c>
      <c r="V48" s="25">
        <v>0</v>
      </c>
      <c r="W48" s="57" t="s">
        <v>143</v>
      </c>
    </row>
    <row r="49" spans="1:23 16381:16382" x14ac:dyDescent="0.15">
      <c r="A49" s="23" t="s">
        <v>52</v>
      </c>
      <c r="B49" s="24"/>
      <c r="C49" s="24" t="s">
        <v>121</v>
      </c>
      <c r="D49" s="85">
        <v>489</v>
      </c>
      <c r="E49" s="86" t="s">
        <v>137</v>
      </c>
      <c r="F49" s="25">
        <v>12.8</v>
      </c>
      <c r="G49" s="57">
        <f>$D49*F49</f>
        <v>6259.2000000000007</v>
      </c>
      <c r="H49" s="25">
        <v>7.9</v>
      </c>
      <c r="I49" s="57">
        <f>$D49*H49</f>
        <v>3863.1000000000004</v>
      </c>
      <c r="J49" s="26">
        <v>12.9</v>
      </c>
      <c r="K49" s="57">
        <f t="shared" ref="K49" si="34">$D49*J49</f>
        <v>6308.1</v>
      </c>
      <c r="L49" s="25">
        <v>11.85</v>
      </c>
      <c r="M49" s="57">
        <f>$D49*L49</f>
        <v>5794.65</v>
      </c>
      <c r="N49" s="25">
        <v>13.9</v>
      </c>
      <c r="O49" s="57">
        <f>$D49*N49</f>
        <v>6797.1</v>
      </c>
      <c r="P49" s="25">
        <v>9.5</v>
      </c>
      <c r="Q49" s="57">
        <f>$D49*P49</f>
        <v>4645.5</v>
      </c>
      <c r="R49" s="117">
        <v>5.75</v>
      </c>
      <c r="S49" s="57">
        <f>$D49*R49</f>
        <v>2811.75</v>
      </c>
      <c r="T49" s="25"/>
      <c r="U49" s="57">
        <f>$D49*T49</f>
        <v>0</v>
      </c>
      <c r="V49" s="25">
        <v>0</v>
      </c>
      <c r="W49" s="57">
        <f t="shared" ref="W49" si="35">$D49*V49</f>
        <v>0</v>
      </c>
    </row>
    <row r="50" spans="1:23 16381:16382" x14ac:dyDescent="0.15">
      <c r="A50" s="28" t="s">
        <v>43</v>
      </c>
      <c r="B50" s="29"/>
      <c r="C50" s="29" t="s">
        <v>112</v>
      </c>
      <c r="D50" s="91"/>
      <c r="E50" s="92"/>
      <c r="F50" s="30"/>
      <c r="G50" s="58">
        <f>SUM(G41:G49)</f>
        <v>29135.65</v>
      </c>
      <c r="H50" s="30"/>
      <c r="I50" s="58">
        <f>SUM(I41:I49)</f>
        <v>33071.269999999997</v>
      </c>
      <c r="J50" s="31"/>
      <c r="K50" s="58">
        <f>SUM(K41:K49)</f>
        <v>32722.699999999997</v>
      </c>
      <c r="L50" s="30"/>
      <c r="M50" s="58">
        <f>SUM(M41:M49)</f>
        <v>27426.800000000003</v>
      </c>
      <c r="N50" s="30"/>
      <c r="O50" s="58">
        <f>SUM(O41:O49)</f>
        <v>16211.2</v>
      </c>
      <c r="P50" s="30"/>
      <c r="Q50" s="58">
        <f>SUM(Q41:Q49)</f>
        <v>26765.8</v>
      </c>
      <c r="R50" s="30"/>
      <c r="S50" s="58">
        <f>SUM(S41:S49)</f>
        <v>22621.94</v>
      </c>
      <c r="T50" s="30"/>
      <c r="U50" s="58">
        <f>SUM(U41:U49)</f>
        <v>29302</v>
      </c>
      <c r="V50" s="30"/>
      <c r="W50" s="58">
        <f>SUM(W41:W49)</f>
        <v>0</v>
      </c>
    </row>
    <row r="51" spans="1:23 16381:16382" x14ac:dyDescent="0.15">
      <c r="A51" s="23"/>
      <c r="B51" s="24"/>
      <c r="C51" s="24"/>
      <c r="D51" s="85"/>
      <c r="E51" s="86"/>
      <c r="F51" s="25"/>
      <c r="G51" s="57"/>
      <c r="H51" s="25"/>
      <c r="I51" s="57"/>
      <c r="J51" s="26"/>
      <c r="K51" s="57"/>
      <c r="L51" s="25"/>
      <c r="M51" s="57"/>
      <c r="N51" s="25"/>
      <c r="O51" s="57"/>
      <c r="P51" s="25"/>
      <c r="Q51" s="57"/>
      <c r="R51" s="25"/>
      <c r="S51" s="57"/>
      <c r="T51" s="25"/>
      <c r="U51" s="57"/>
      <c r="V51" s="25"/>
      <c r="W51" s="57"/>
    </row>
    <row r="52" spans="1:23 16381:16382" x14ac:dyDescent="0.15">
      <c r="A52" s="23" t="s">
        <v>54</v>
      </c>
      <c r="B52" s="24" t="s">
        <v>89</v>
      </c>
      <c r="C52" s="24" t="s">
        <v>123</v>
      </c>
      <c r="D52" s="85">
        <v>1</v>
      </c>
      <c r="E52" s="86" t="s">
        <v>137</v>
      </c>
      <c r="F52" s="25">
        <v>12.8</v>
      </c>
      <c r="G52" s="57" t="s">
        <v>143</v>
      </c>
      <c r="H52" s="25">
        <v>16.899999999999999</v>
      </c>
      <c r="I52" s="57" t="s">
        <v>143</v>
      </c>
      <c r="J52" s="26">
        <v>24</v>
      </c>
      <c r="K52" s="57" t="s">
        <v>143</v>
      </c>
      <c r="L52" s="117">
        <v>8.85</v>
      </c>
      <c r="M52" s="57" t="s">
        <v>143</v>
      </c>
      <c r="N52" s="25">
        <v>14.35</v>
      </c>
      <c r="O52" s="57" t="s">
        <v>143</v>
      </c>
      <c r="P52" s="25">
        <v>12.5</v>
      </c>
      <c r="Q52" s="57" t="s">
        <v>143</v>
      </c>
      <c r="R52" s="25">
        <v>9.75</v>
      </c>
      <c r="S52" s="57" t="s">
        <v>143</v>
      </c>
      <c r="T52" s="25">
        <v>18</v>
      </c>
      <c r="U52" s="57" t="s">
        <v>143</v>
      </c>
      <c r="V52" s="25">
        <v>0</v>
      </c>
      <c r="W52" s="57" t="s">
        <v>143</v>
      </c>
    </row>
    <row r="53" spans="1:23 16381:16382" x14ac:dyDescent="0.15">
      <c r="A53" s="23" t="s">
        <v>55</v>
      </c>
      <c r="B53" s="24" t="s">
        <v>89</v>
      </c>
      <c r="C53" s="24" t="s">
        <v>124</v>
      </c>
      <c r="D53" s="85">
        <v>1</v>
      </c>
      <c r="E53" s="86" t="s">
        <v>137</v>
      </c>
      <c r="F53" s="25">
        <v>7.95</v>
      </c>
      <c r="G53" s="57" t="s">
        <v>143</v>
      </c>
      <c r="H53" s="25">
        <v>9.9</v>
      </c>
      <c r="I53" s="57" t="s">
        <v>143</v>
      </c>
      <c r="J53" s="26">
        <v>9</v>
      </c>
      <c r="K53" s="57" t="s">
        <v>143</v>
      </c>
      <c r="L53" s="25">
        <v>7.9</v>
      </c>
      <c r="M53" s="57" t="s">
        <v>143</v>
      </c>
      <c r="N53" s="25">
        <v>9</v>
      </c>
      <c r="O53" s="57" t="s">
        <v>143</v>
      </c>
      <c r="P53" s="25">
        <v>8.5</v>
      </c>
      <c r="Q53" s="57" t="s">
        <v>143</v>
      </c>
      <c r="R53" s="117">
        <v>6.85</v>
      </c>
      <c r="S53" s="57" t="s">
        <v>143</v>
      </c>
      <c r="T53" s="25">
        <v>10</v>
      </c>
      <c r="U53" s="57" t="s">
        <v>143</v>
      </c>
      <c r="V53" s="25">
        <v>0</v>
      </c>
      <c r="W53" s="57" t="s">
        <v>143</v>
      </c>
    </row>
    <row r="54" spans="1:23 16381:16382" x14ac:dyDescent="0.15">
      <c r="A54" s="23" t="s">
        <v>56</v>
      </c>
      <c r="B54" s="24" t="s">
        <v>89</v>
      </c>
      <c r="C54" s="24" t="s">
        <v>125</v>
      </c>
      <c r="D54" s="85">
        <v>1</v>
      </c>
      <c r="E54" s="86" t="s">
        <v>137</v>
      </c>
      <c r="F54" s="25">
        <v>7.95</v>
      </c>
      <c r="G54" s="57" t="s">
        <v>143</v>
      </c>
      <c r="H54" s="25">
        <v>9.9</v>
      </c>
      <c r="I54" s="57" t="s">
        <v>143</v>
      </c>
      <c r="J54" s="26">
        <v>12</v>
      </c>
      <c r="K54" s="57" t="s">
        <v>143</v>
      </c>
      <c r="L54" s="25">
        <v>7.9</v>
      </c>
      <c r="M54" s="57" t="s">
        <v>143</v>
      </c>
      <c r="N54" s="25">
        <v>9</v>
      </c>
      <c r="O54" s="57" t="s">
        <v>143</v>
      </c>
      <c r="P54" s="25">
        <v>8.5</v>
      </c>
      <c r="Q54" s="57" t="s">
        <v>143</v>
      </c>
      <c r="R54" s="117">
        <v>7.1</v>
      </c>
      <c r="S54" s="57" t="s">
        <v>143</v>
      </c>
      <c r="T54" s="25">
        <v>10</v>
      </c>
      <c r="U54" s="57" t="s">
        <v>143</v>
      </c>
      <c r="V54" s="25">
        <v>0</v>
      </c>
      <c r="W54" s="57" t="s">
        <v>143</v>
      </c>
    </row>
    <row r="55" spans="1:23 16381:16382" x14ac:dyDescent="0.15">
      <c r="A55" s="23" t="s">
        <v>57</v>
      </c>
      <c r="B55" s="24" t="s">
        <v>89</v>
      </c>
      <c r="C55" s="24" t="s">
        <v>126</v>
      </c>
      <c r="D55" s="85">
        <v>1</v>
      </c>
      <c r="E55" s="86" t="s">
        <v>136</v>
      </c>
      <c r="F55" s="117">
        <v>12.8</v>
      </c>
      <c r="G55" s="57" t="s">
        <v>143</v>
      </c>
      <c r="H55" s="25">
        <v>42.5</v>
      </c>
      <c r="I55" s="57" t="s">
        <v>143</v>
      </c>
      <c r="J55" s="26">
        <v>30</v>
      </c>
      <c r="K55" s="57" t="s">
        <v>143</v>
      </c>
      <c r="L55" s="25">
        <v>18.149999999999999</v>
      </c>
      <c r="M55" s="57" t="s">
        <v>143</v>
      </c>
      <c r="N55" s="25">
        <v>35</v>
      </c>
      <c r="O55" s="57" t="s">
        <v>143</v>
      </c>
      <c r="P55" s="25">
        <v>50</v>
      </c>
      <c r="Q55" s="57" t="s">
        <v>143</v>
      </c>
      <c r="R55" s="25">
        <v>50</v>
      </c>
      <c r="S55" s="57" t="s">
        <v>143</v>
      </c>
      <c r="T55" s="25">
        <v>75</v>
      </c>
      <c r="U55" s="57" t="s">
        <v>143</v>
      </c>
      <c r="V55" s="25">
        <v>0</v>
      </c>
      <c r="W55" s="57" t="s">
        <v>143</v>
      </c>
    </row>
    <row r="56" spans="1:23 16381:16382" x14ac:dyDescent="0.15">
      <c r="A56" s="23" t="s">
        <v>58</v>
      </c>
      <c r="B56" s="24" t="s">
        <v>89</v>
      </c>
      <c r="C56" s="24" t="s">
        <v>127</v>
      </c>
      <c r="D56" s="85">
        <v>1</v>
      </c>
      <c r="E56" s="86" t="s">
        <v>135</v>
      </c>
      <c r="F56" s="25">
        <v>14.15</v>
      </c>
      <c r="G56" s="57" t="s">
        <v>143</v>
      </c>
      <c r="H56" s="117">
        <v>8.9</v>
      </c>
      <c r="I56" s="57" t="s">
        <v>143</v>
      </c>
      <c r="J56" s="76" t="s">
        <v>163</v>
      </c>
      <c r="K56" s="57" t="s">
        <v>143</v>
      </c>
      <c r="L56" s="25">
        <v>13.95</v>
      </c>
      <c r="M56" s="57" t="s">
        <v>143</v>
      </c>
      <c r="N56" s="25">
        <v>18.2</v>
      </c>
      <c r="O56" s="57" t="s">
        <v>143</v>
      </c>
      <c r="P56" s="25">
        <v>14.5</v>
      </c>
      <c r="Q56" s="57" t="s">
        <v>143</v>
      </c>
      <c r="R56" s="25">
        <v>12.75</v>
      </c>
      <c r="S56" s="57" t="s">
        <v>143</v>
      </c>
      <c r="T56" s="25">
        <v>15</v>
      </c>
      <c r="U56" s="57" t="s">
        <v>143</v>
      </c>
      <c r="V56" s="25">
        <v>0</v>
      </c>
      <c r="W56" s="57" t="s">
        <v>143</v>
      </c>
    </row>
    <row r="57" spans="1:23 16381:16382" ht="15" x14ac:dyDescent="0.2">
      <c r="A57" s="23" t="s">
        <v>59</v>
      </c>
      <c r="B57" s="24" t="s">
        <v>89</v>
      </c>
      <c r="C57" s="24" t="s">
        <v>128</v>
      </c>
      <c r="D57" s="85">
        <v>1</v>
      </c>
      <c r="E57" s="86" t="s">
        <v>135</v>
      </c>
      <c r="F57" s="25">
        <v>2.35</v>
      </c>
      <c r="G57" s="57" t="s">
        <v>143</v>
      </c>
      <c r="H57" s="25">
        <v>4.9000000000000004</v>
      </c>
      <c r="I57" s="57" t="s">
        <v>143</v>
      </c>
      <c r="J57" s="26">
        <v>2.7</v>
      </c>
      <c r="K57" s="57" t="s">
        <v>143</v>
      </c>
      <c r="L57" s="25">
        <v>3.05</v>
      </c>
      <c r="M57" s="57" t="s">
        <v>143</v>
      </c>
      <c r="N57" s="25">
        <v>2.2000000000000002</v>
      </c>
      <c r="O57" s="57" t="s">
        <v>143</v>
      </c>
      <c r="P57" s="25">
        <v>2.6</v>
      </c>
      <c r="Q57" s="57" t="s">
        <v>143</v>
      </c>
      <c r="R57" s="117">
        <v>1.75</v>
      </c>
      <c r="S57" s="57" t="s">
        <v>143</v>
      </c>
      <c r="T57" s="25">
        <v>7.5</v>
      </c>
      <c r="U57" s="57" t="s">
        <v>143</v>
      </c>
      <c r="V57" s="25">
        <v>0</v>
      </c>
      <c r="W57" s="57" t="s">
        <v>143</v>
      </c>
      <c r="XFA57"/>
      <c r="XFB57"/>
    </row>
    <row r="58" spans="1:23 16381:16382" ht="15" x14ac:dyDescent="0.2">
      <c r="A58" s="28" t="s">
        <v>53</v>
      </c>
      <c r="B58" s="29"/>
      <c r="C58" s="29" t="s">
        <v>122</v>
      </c>
      <c r="D58" s="91"/>
      <c r="E58" s="92"/>
      <c r="F58" s="30"/>
      <c r="G58" s="58">
        <f>SUM(G52:G57)</f>
        <v>0</v>
      </c>
      <c r="H58" s="30"/>
      <c r="I58" s="58">
        <f>$D58*H58</f>
        <v>0</v>
      </c>
      <c r="J58" s="31"/>
      <c r="K58" s="58">
        <f>SUM(K52:K57)</f>
        <v>0</v>
      </c>
      <c r="L58" s="30"/>
      <c r="M58" s="58">
        <f>SUM(M52:M57)</f>
        <v>0</v>
      </c>
      <c r="N58" s="30"/>
      <c r="O58" s="58">
        <f>SUM(O52:O57)</f>
        <v>0</v>
      </c>
      <c r="P58" s="30"/>
      <c r="Q58" s="58">
        <f>SUM(Q52:Q57)</f>
        <v>0</v>
      </c>
      <c r="R58" s="30"/>
      <c r="S58" s="58">
        <f>SUM(S52:S57)</f>
        <v>0</v>
      </c>
      <c r="T58" s="30"/>
      <c r="U58" s="58">
        <f>SUM(U52:U57)</f>
        <v>0</v>
      </c>
      <c r="V58" s="30"/>
      <c r="W58" s="58">
        <f>SUM(W52:W57)</f>
        <v>0</v>
      </c>
      <c r="XFA58"/>
      <c r="XFB58"/>
    </row>
    <row r="59" spans="1:23 16381:16382" ht="15" x14ac:dyDescent="0.2">
      <c r="A59" s="23"/>
      <c r="B59" s="24"/>
      <c r="C59" s="24"/>
      <c r="D59" s="85"/>
      <c r="E59" s="86"/>
      <c r="F59" s="25"/>
      <c r="G59" s="57"/>
      <c r="H59" s="25"/>
      <c r="I59" s="57"/>
      <c r="J59" s="26"/>
      <c r="K59" s="57"/>
      <c r="L59" s="25"/>
      <c r="M59" s="57"/>
      <c r="N59" s="25"/>
      <c r="O59" s="57"/>
      <c r="P59" s="25"/>
      <c r="Q59" s="57"/>
      <c r="R59" s="25"/>
      <c r="S59" s="57"/>
      <c r="T59" s="25"/>
      <c r="U59" s="57"/>
      <c r="V59" s="25"/>
      <c r="W59" s="57"/>
      <c r="XFA59"/>
      <c r="XFB59"/>
    </row>
    <row r="60" spans="1:23 16381:16382" ht="15" x14ac:dyDescent="0.2">
      <c r="A60" s="65" t="s">
        <v>60</v>
      </c>
      <c r="B60" s="66"/>
      <c r="C60" s="66" t="s">
        <v>129</v>
      </c>
      <c r="D60" s="87"/>
      <c r="E60" s="88"/>
      <c r="F60" s="67"/>
      <c r="G60" s="68"/>
      <c r="H60" s="67"/>
      <c r="I60" s="68"/>
      <c r="J60" s="69"/>
      <c r="K60" s="68"/>
      <c r="L60" s="67"/>
      <c r="M60" s="68"/>
      <c r="N60" s="67"/>
      <c r="O60" s="68"/>
      <c r="P60" s="67"/>
      <c r="Q60" s="68"/>
      <c r="R60" s="67"/>
      <c r="S60" s="68"/>
      <c r="T60" s="67"/>
      <c r="U60" s="68"/>
      <c r="V60" s="67"/>
      <c r="W60" s="68"/>
      <c r="XFA60"/>
      <c r="XFB60"/>
    </row>
    <row r="61" spans="1:23 16381:16382" ht="15" x14ac:dyDescent="0.2">
      <c r="A61" s="23" t="s">
        <v>62</v>
      </c>
      <c r="B61" s="24"/>
      <c r="C61" s="24" t="s">
        <v>92</v>
      </c>
      <c r="D61" s="85">
        <v>10545</v>
      </c>
      <c r="E61" s="86" t="s">
        <v>135</v>
      </c>
      <c r="F61" s="25">
        <v>2.8</v>
      </c>
      <c r="G61" s="57">
        <f t="shared" ref="G61:G62" si="36">$D61*F61</f>
        <v>29525.999999999996</v>
      </c>
      <c r="H61" s="25">
        <v>2.85</v>
      </c>
      <c r="I61" s="57">
        <f>$D61*H61</f>
        <v>30053.25</v>
      </c>
      <c r="J61" s="26">
        <v>2.44</v>
      </c>
      <c r="K61" s="57">
        <f t="shared" ref="K61" si="37">$D61*J61</f>
        <v>25729.8</v>
      </c>
      <c r="L61" s="25">
        <v>5.65</v>
      </c>
      <c r="M61" s="57">
        <f t="shared" ref="M61:M62" si="38">$D61*L61</f>
        <v>59579.250000000007</v>
      </c>
      <c r="N61" s="25">
        <v>5.0999999999999996</v>
      </c>
      <c r="O61" s="57">
        <f t="shared" ref="O61:O62" si="39">$D61*N61</f>
        <v>53779.499999999993</v>
      </c>
      <c r="P61" s="25">
        <v>5.5</v>
      </c>
      <c r="Q61" s="57">
        <f t="shared" ref="Q61:Q62" si="40">$D61*P61</f>
        <v>57997.5</v>
      </c>
      <c r="R61" s="25">
        <v>4.87</v>
      </c>
      <c r="S61" s="57">
        <f t="shared" ref="S61:S62" si="41">$D61*R61</f>
        <v>51354.15</v>
      </c>
      <c r="T61" s="25">
        <v>7</v>
      </c>
      <c r="U61" s="57">
        <f t="shared" ref="U61:U62" si="42">$D61*T61</f>
        <v>73815</v>
      </c>
      <c r="V61" s="25">
        <v>0</v>
      </c>
      <c r="W61" s="57">
        <f t="shared" ref="W61" si="43">$D61*V61</f>
        <v>0</v>
      </c>
      <c r="XFA61"/>
      <c r="XFB61"/>
    </row>
    <row r="62" spans="1:23 16381:16382" ht="16" x14ac:dyDescent="0.2">
      <c r="A62" s="23" t="s">
        <v>63</v>
      </c>
      <c r="B62" s="24"/>
      <c r="C62" s="120" t="s">
        <v>172</v>
      </c>
      <c r="D62" s="85">
        <v>10545</v>
      </c>
      <c r="E62" s="86" t="s">
        <v>135</v>
      </c>
      <c r="F62" s="25">
        <v>35.75</v>
      </c>
      <c r="G62" s="57">
        <f t="shared" si="36"/>
        <v>376983.75</v>
      </c>
      <c r="H62" s="25">
        <v>34.840000000000003</v>
      </c>
      <c r="I62" s="57">
        <f>$D62*H62</f>
        <v>367387.80000000005</v>
      </c>
      <c r="J62" s="26">
        <v>37.33</v>
      </c>
      <c r="K62" s="57">
        <f t="shared" ref="K62" si="44">$D62*J62</f>
        <v>393644.85</v>
      </c>
      <c r="L62" s="25">
        <v>36</v>
      </c>
      <c r="M62" s="57">
        <f t="shared" si="38"/>
        <v>379620</v>
      </c>
      <c r="N62" s="25">
        <v>38.4</v>
      </c>
      <c r="O62" s="57">
        <f t="shared" si="39"/>
        <v>404928</v>
      </c>
      <c r="P62" s="25">
        <v>36.5</v>
      </c>
      <c r="Q62" s="57">
        <f t="shared" si="40"/>
        <v>384892.5</v>
      </c>
      <c r="R62" s="25">
        <v>37.340000000000003</v>
      </c>
      <c r="S62" s="57">
        <f t="shared" si="41"/>
        <v>393750.30000000005</v>
      </c>
      <c r="T62" s="25">
        <v>38</v>
      </c>
      <c r="U62" s="57">
        <f t="shared" si="42"/>
        <v>400710</v>
      </c>
      <c r="V62" s="25">
        <v>0</v>
      </c>
      <c r="W62" s="57">
        <f t="shared" ref="W62" si="45">$D62*V62</f>
        <v>0</v>
      </c>
      <c r="XFA62"/>
      <c r="XFB62"/>
    </row>
    <row r="63" spans="1:23 16381:16382" ht="31" x14ac:dyDescent="0.2">
      <c r="A63" s="23" t="s">
        <v>64</v>
      </c>
      <c r="B63" s="24" t="s">
        <v>89</v>
      </c>
      <c r="C63" s="27" t="s">
        <v>93</v>
      </c>
      <c r="D63" s="85">
        <v>1</v>
      </c>
      <c r="E63" s="86" t="s">
        <v>135</v>
      </c>
      <c r="F63" s="25">
        <v>48.1</v>
      </c>
      <c r="G63" s="57" t="s">
        <v>143</v>
      </c>
      <c r="H63" s="25">
        <v>46.75</v>
      </c>
      <c r="I63" s="57" t="s">
        <v>143</v>
      </c>
      <c r="J63" s="26">
        <v>52</v>
      </c>
      <c r="K63" s="57" t="s">
        <v>143</v>
      </c>
      <c r="L63" s="25">
        <v>49.55</v>
      </c>
      <c r="M63" s="57" t="s">
        <v>143</v>
      </c>
      <c r="N63" s="25">
        <v>52.7</v>
      </c>
      <c r="O63" s="57" t="s">
        <v>143</v>
      </c>
      <c r="P63" s="25">
        <v>8.5</v>
      </c>
      <c r="Q63" s="57" t="s">
        <v>143</v>
      </c>
      <c r="R63" s="25">
        <v>49.59</v>
      </c>
      <c r="S63" s="57" t="s">
        <v>143</v>
      </c>
      <c r="T63" s="25">
        <v>50</v>
      </c>
      <c r="U63" s="57" t="s">
        <v>143</v>
      </c>
      <c r="V63" s="25">
        <v>0</v>
      </c>
      <c r="W63" s="57" t="s">
        <v>143</v>
      </c>
      <c r="XFA63"/>
      <c r="XFB63"/>
    </row>
    <row r="64" spans="1:23 16381:16382" ht="15" x14ac:dyDescent="0.2">
      <c r="A64" s="23" t="s">
        <v>65</v>
      </c>
      <c r="B64" s="24" t="s">
        <v>89</v>
      </c>
      <c r="C64" s="24" t="s">
        <v>94</v>
      </c>
      <c r="D64" s="85">
        <v>1</v>
      </c>
      <c r="E64" s="86" t="s">
        <v>135</v>
      </c>
      <c r="F64" s="25">
        <v>5.0999999999999996</v>
      </c>
      <c r="G64" s="57" t="s">
        <v>143</v>
      </c>
      <c r="H64" s="25">
        <v>4.25</v>
      </c>
      <c r="I64" s="57" t="s">
        <v>143</v>
      </c>
      <c r="J64" s="76">
        <v>44.44</v>
      </c>
      <c r="K64" s="57" t="s">
        <v>143</v>
      </c>
      <c r="L64" s="25">
        <v>5.05</v>
      </c>
      <c r="M64" s="57" t="s">
        <v>143</v>
      </c>
      <c r="N64" s="25">
        <v>5.3</v>
      </c>
      <c r="O64" s="57" t="s">
        <v>143</v>
      </c>
      <c r="P64" s="25">
        <v>8.5</v>
      </c>
      <c r="Q64" s="57" t="s">
        <v>143</v>
      </c>
      <c r="R64" s="25">
        <v>6.5</v>
      </c>
      <c r="S64" s="57" t="s">
        <v>143</v>
      </c>
      <c r="T64" s="25">
        <v>10</v>
      </c>
      <c r="U64" s="57" t="s">
        <v>143</v>
      </c>
      <c r="V64" s="25">
        <v>0</v>
      </c>
      <c r="W64" s="57" t="s">
        <v>143</v>
      </c>
      <c r="XFA64"/>
      <c r="XFB64"/>
    </row>
    <row r="65" spans="1:23 16381:16382" ht="15" x14ac:dyDescent="0.2">
      <c r="A65" s="23" t="s">
        <v>66</v>
      </c>
      <c r="B65" s="24" t="s">
        <v>89</v>
      </c>
      <c r="C65" s="24" t="s">
        <v>95</v>
      </c>
      <c r="D65" s="85">
        <v>1</v>
      </c>
      <c r="E65" s="86" t="s">
        <v>135</v>
      </c>
      <c r="F65" s="25">
        <v>5.0999999999999996</v>
      </c>
      <c r="G65" s="57" t="s">
        <v>143</v>
      </c>
      <c r="H65" s="25">
        <v>4.25</v>
      </c>
      <c r="I65" s="57" t="s">
        <v>143</v>
      </c>
      <c r="J65" s="76">
        <v>55</v>
      </c>
      <c r="K65" s="57" t="s">
        <v>143</v>
      </c>
      <c r="L65" s="25">
        <v>5.05</v>
      </c>
      <c r="M65" s="57" t="s">
        <v>143</v>
      </c>
      <c r="N65" s="25">
        <v>5.3</v>
      </c>
      <c r="O65" s="57" t="s">
        <v>143</v>
      </c>
      <c r="P65" s="25">
        <v>8.5</v>
      </c>
      <c r="Q65" s="57" t="s">
        <v>143</v>
      </c>
      <c r="R65" s="25">
        <v>6.5</v>
      </c>
      <c r="S65" s="57" t="s">
        <v>143</v>
      </c>
      <c r="T65" s="25">
        <v>10</v>
      </c>
      <c r="U65" s="57" t="s">
        <v>143</v>
      </c>
      <c r="V65" s="25">
        <v>0</v>
      </c>
      <c r="W65" s="57" t="s">
        <v>143</v>
      </c>
      <c r="XFA65"/>
      <c r="XFB65"/>
    </row>
    <row r="66" spans="1:23 16381:16382" ht="15" x14ac:dyDescent="0.2">
      <c r="A66" s="23" t="s">
        <v>67</v>
      </c>
      <c r="B66" s="24"/>
      <c r="C66" s="24" t="s">
        <v>96</v>
      </c>
      <c r="D66" s="85">
        <v>700</v>
      </c>
      <c r="E66" s="86" t="s">
        <v>136</v>
      </c>
      <c r="F66" s="25">
        <v>5.65</v>
      </c>
      <c r="G66" s="57">
        <f>$D66*F66</f>
        <v>3955.0000000000005</v>
      </c>
      <c r="H66" s="25">
        <v>5.35</v>
      </c>
      <c r="I66" s="57">
        <f>$D66*H66</f>
        <v>3744.9999999999995</v>
      </c>
      <c r="J66" s="26">
        <v>4</v>
      </c>
      <c r="K66" s="57">
        <f t="shared" ref="K66" si="46">$D66*J66</f>
        <v>2800</v>
      </c>
      <c r="L66" s="25">
        <v>1.25</v>
      </c>
      <c r="M66" s="57">
        <f>$D66*L66</f>
        <v>875</v>
      </c>
      <c r="N66" s="25">
        <v>5.8</v>
      </c>
      <c r="O66" s="57">
        <f>$D66*N66</f>
        <v>4060</v>
      </c>
      <c r="P66" s="25">
        <v>5</v>
      </c>
      <c r="Q66" s="57">
        <f>$D66*P66</f>
        <v>3500</v>
      </c>
      <c r="R66" s="25">
        <v>4.42</v>
      </c>
      <c r="S66" s="57">
        <f>$D66*R66</f>
        <v>3094</v>
      </c>
      <c r="T66" s="25">
        <v>5</v>
      </c>
      <c r="U66" s="57">
        <f>$D66*T66</f>
        <v>3500</v>
      </c>
      <c r="V66" s="25">
        <v>0</v>
      </c>
      <c r="W66" s="57">
        <f t="shared" ref="W66" si="47">$D66*V66</f>
        <v>0</v>
      </c>
      <c r="XFA66"/>
      <c r="XFB66"/>
    </row>
    <row r="67" spans="1:23 16381:16382" ht="15" x14ac:dyDescent="0.2">
      <c r="A67" s="23" t="s">
        <v>68</v>
      </c>
      <c r="B67" s="24" t="s">
        <v>89</v>
      </c>
      <c r="C67" s="24" t="s">
        <v>97</v>
      </c>
      <c r="D67" s="85">
        <v>1</v>
      </c>
      <c r="E67" s="86" t="s">
        <v>136</v>
      </c>
      <c r="F67" s="25">
        <v>12.4</v>
      </c>
      <c r="G67" s="57" t="s">
        <v>143</v>
      </c>
      <c r="H67" s="25">
        <v>4.5</v>
      </c>
      <c r="I67" s="57" t="s">
        <v>143</v>
      </c>
      <c r="J67" s="26">
        <v>4</v>
      </c>
      <c r="K67" s="57" t="s">
        <v>143</v>
      </c>
      <c r="L67" s="25">
        <v>1.85</v>
      </c>
      <c r="M67" s="57" t="s">
        <v>143</v>
      </c>
      <c r="N67" s="78" t="s">
        <v>167</v>
      </c>
      <c r="O67" s="57" t="s">
        <v>143</v>
      </c>
      <c r="P67" s="25">
        <v>8.5</v>
      </c>
      <c r="Q67" s="57" t="s">
        <v>143</v>
      </c>
      <c r="R67" s="25">
        <v>9.66</v>
      </c>
      <c r="S67" s="57" t="s">
        <v>143</v>
      </c>
      <c r="T67" s="25">
        <v>50</v>
      </c>
      <c r="U67" s="57" t="s">
        <v>143</v>
      </c>
      <c r="V67" s="25">
        <v>0</v>
      </c>
      <c r="W67" s="57" t="s">
        <v>143</v>
      </c>
      <c r="XFA67"/>
      <c r="XFB67"/>
    </row>
    <row r="68" spans="1:23 16381:16382" ht="15" x14ac:dyDescent="0.2">
      <c r="A68" s="23" t="s">
        <v>69</v>
      </c>
      <c r="B68" s="24"/>
      <c r="C68" s="24" t="s">
        <v>98</v>
      </c>
      <c r="D68" s="85">
        <v>3775</v>
      </c>
      <c r="E68" s="86" t="s">
        <v>137</v>
      </c>
      <c r="F68" s="25"/>
      <c r="G68" s="57"/>
      <c r="H68" s="25">
        <v>5.9</v>
      </c>
      <c r="I68" s="57">
        <f>$D68*H68</f>
        <v>22272.5</v>
      </c>
      <c r="J68" s="26"/>
      <c r="K68" s="57"/>
      <c r="L68" s="25"/>
      <c r="M68" s="57"/>
      <c r="N68" s="25">
        <v>5.5</v>
      </c>
      <c r="O68" s="57">
        <f>$D68*N68</f>
        <v>20762.5</v>
      </c>
      <c r="P68" s="25">
        <v>5.5</v>
      </c>
      <c r="Q68" s="57">
        <f>$D68*P68</f>
        <v>20762.5</v>
      </c>
      <c r="R68" s="25">
        <v>6.57</v>
      </c>
      <c r="S68" s="57">
        <f>$D68*R68</f>
        <v>24801.75</v>
      </c>
      <c r="T68" s="25">
        <v>10</v>
      </c>
      <c r="U68" s="57">
        <f>$D68*T68</f>
        <v>37750</v>
      </c>
      <c r="V68" s="25">
        <v>0</v>
      </c>
      <c r="W68" s="57">
        <f t="shared" ref="W68" si="48">$D68*V68</f>
        <v>0</v>
      </c>
      <c r="XFA68"/>
      <c r="XFB68"/>
    </row>
    <row r="69" spans="1:23 16381:16382" ht="15" x14ac:dyDescent="0.2">
      <c r="A69" s="23"/>
      <c r="B69" s="24"/>
      <c r="C69" s="73" t="s">
        <v>161</v>
      </c>
      <c r="D69" s="89">
        <v>3775</v>
      </c>
      <c r="E69" s="90" t="s">
        <v>137</v>
      </c>
      <c r="F69" s="74">
        <v>4.8499999999999996</v>
      </c>
      <c r="G69" s="75">
        <f>$D69*F69</f>
        <v>18308.75</v>
      </c>
      <c r="H69" s="25"/>
      <c r="I69" s="57"/>
      <c r="J69" s="26">
        <v>5.2</v>
      </c>
      <c r="K69" s="75">
        <f t="shared" ref="K69" si="49">$D69*J69</f>
        <v>19630</v>
      </c>
      <c r="L69" s="25">
        <v>5.2</v>
      </c>
      <c r="M69" s="57">
        <f>$D69*L69</f>
        <v>19630</v>
      </c>
      <c r="N69" s="25"/>
      <c r="O69" s="57"/>
      <c r="P69" s="25"/>
      <c r="Q69" s="57"/>
      <c r="R69" s="25"/>
      <c r="S69" s="57"/>
      <c r="T69" s="25"/>
      <c r="U69" s="57"/>
      <c r="V69" s="25"/>
      <c r="W69" s="57"/>
      <c r="XFA69"/>
      <c r="XFB69"/>
    </row>
    <row r="70" spans="1:23 16381:16382" ht="15" x14ac:dyDescent="0.2">
      <c r="A70" s="23"/>
      <c r="B70" s="24"/>
      <c r="C70" s="73" t="s">
        <v>166</v>
      </c>
      <c r="D70" s="89">
        <v>3775</v>
      </c>
      <c r="E70" s="90" t="s">
        <v>137</v>
      </c>
      <c r="F70" s="74">
        <v>5.7</v>
      </c>
      <c r="G70" s="75" t="s">
        <v>143</v>
      </c>
      <c r="H70" s="25"/>
      <c r="I70" s="57"/>
      <c r="J70" s="26">
        <v>6.8</v>
      </c>
      <c r="K70" s="75" t="s">
        <v>143</v>
      </c>
      <c r="L70" s="25"/>
      <c r="M70" s="57"/>
      <c r="N70" s="25"/>
      <c r="O70" s="57"/>
      <c r="P70" s="25"/>
      <c r="Q70" s="57"/>
      <c r="R70" s="25"/>
      <c r="S70" s="57"/>
      <c r="T70" s="25"/>
      <c r="U70" s="57"/>
      <c r="V70" s="25"/>
      <c r="W70" s="57"/>
      <c r="XFA70"/>
      <c r="XFB70"/>
    </row>
    <row r="71" spans="1:23 16381:16382" ht="15" x14ac:dyDescent="0.2">
      <c r="A71" s="23" t="s">
        <v>70</v>
      </c>
      <c r="B71" s="24" t="s">
        <v>89</v>
      </c>
      <c r="C71" s="24" t="s">
        <v>99</v>
      </c>
      <c r="D71" s="85">
        <v>1</v>
      </c>
      <c r="E71" s="86" t="s">
        <v>137</v>
      </c>
      <c r="F71" s="25"/>
      <c r="G71" s="57"/>
      <c r="H71" s="25">
        <v>6.9</v>
      </c>
      <c r="I71" s="57" t="s">
        <v>143</v>
      </c>
      <c r="J71" s="76" t="s">
        <v>163</v>
      </c>
      <c r="K71" s="57" t="s">
        <v>143</v>
      </c>
      <c r="L71" s="22"/>
      <c r="M71" s="22"/>
      <c r="N71" s="25">
        <v>6.75</v>
      </c>
      <c r="O71" s="57" t="s">
        <v>143</v>
      </c>
      <c r="P71" s="25">
        <v>5.5</v>
      </c>
      <c r="Q71" s="57" t="s">
        <v>143</v>
      </c>
      <c r="R71" s="25">
        <v>7.1</v>
      </c>
      <c r="S71" s="57" t="s">
        <v>143</v>
      </c>
      <c r="T71" s="25">
        <v>12</v>
      </c>
      <c r="U71" s="57" t="s">
        <v>143</v>
      </c>
      <c r="V71" s="25">
        <v>0</v>
      </c>
      <c r="W71" s="57" t="s">
        <v>143</v>
      </c>
      <c r="XFA71"/>
      <c r="XFB71"/>
    </row>
    <row r="72" spans="1:23 16381:16382" ht="15" x14ac:dyDescent="0.2">
      <c r="A72" s="23"/>
      <c r="B72" s="24"/>
      <c r="C72" s="73" t="s">
        <v>161</v>
      </c>
      <c r="D72" s="89">
        <v>1</v>
      </c>
      <c r="E72" s="90" t="s">
        <v>137</v>
      </c>
      <c r="F72" s="74">
        <v>6</v>
      </c>
      <c r="G72" s="75" t="s">
        <v>143</v>
      </c>
      <c r="H72" s="25"/>
      <c r="I72" s="57"/>
      <c r="J72" s="26"/>
      <c r="K72" s="75"/>
      <c r="L72" s="25">
        <v>5.95</v>
      </c>
      <c r="M72" s="57" t="s">
        <v>143</v>
      </c>
      <c r="N72" s="25"/>
      <c r="O72" s="57"/>
      <c r="P72" s="25"/>
      <c r="Q72" s="57"/>
      <c r="R72" s="25"/>
      <c r="S72" s="57"/>
      <c r="T72" s="25"/>
      <c r="U72" s="57"/>
      <c r="V72" s="25"/>
      <c r="W72" s="57"/>
      <c r="XFA72"/>
      <c r="XFB72"/>
    </row>
    <row r="73" spans="1:23 16381:16382" ht="15" x14ac:dyDescent="0.2">
      <c r="A73" s="23"/>
      <c r="B73" s="24"/>
      <c r="C73" s="73" t="s">
        <v>166</v>
      </c>
      <c r="D73" s="89">
        <v>1</v>
      </c>
      <c r="E73" s="90" t="s">
        <v>137</v>
      </c>
      <c r="F73" s="74">
        <v>7.1</v>
      </c>
      <c r="G73" s="75" t="s">
        <v>143</v>
      </c>
      <c r="H73" s="25"/>
      <c r="I73" s="57"/>
      <c r="J73" s="26"/>
      <c r="K73" s="75"/>
      <c r="L73" s="25"/>
      <c r="M73" s="57"/>
      <c r="N73" s="25"/>
      <c r="O73" s="57"/>
      <c r="P73" s="25"/>
      <c r="Q73" s="57"/>
      <c r="R73" s="25"/>
      <c r="S73" s="57"/>
      <c r="T73" s="25"/>
      <c r="U73" s="57"/>
      <c r="V73" s="25"/>
      <c r="W73" s="57"/>
      <c r="XFA73"/>
      <c r="XFB73"/>
    </row>
    <row r="74" spans="1:23 16381:16382" ht="15" x14ac:dyDescent="0.2">
      <c r="A74" s="23" t="s">
        <v>71</v>
      </c>
      <c r="B74" s="24" t="s">
        <v>89</v>
      </c>
      <c r="C74" s="24" t="s">
        <v>100</v>
      </c>
      <c r="D74" s="85">
        <v>1</v>
      </c>
      <c r="E74" s="86" t="s">
        <v>137</v>
      </c>
      <c r="F74" s="25">
        <v>13.8</v>
      </c>
      <c r="G74" s="57" t="s">
        <v>143</v>
      </c>
      <c r="H74" s="25">
        <v>14.9</v>
      </c>
      <c r="I74" s="57" t="s">
        <v>143</v>
      </c>
      <c r="J74" s="26">
        <v>24</v>
      </c>
      <c r="K74" s="57" t="s">
        <v>143</v>
      </c>
      <c r="L74" s="25">
        <v>7.25</v>
      </c>
      <c r="M74" s="57" t="s">
        <v>143</v>
      </c>
      <c r="N74" s="25">
        <v>13.15</v>
      </c>
      <c r="O74" s="57" t="s">
        <v>143</v>
      </c>
      <c r="P74" s="25">
        <v>15.5</v>
      </c>
      <c r="Q74" s="57" t="s">
        <v>143</v>
      </c>
      <c r="R74" s="25">
        <v>11.5</v>
      </c>
      <c r="S74" s="57" t="s">
        <v>143</v>
      </c>
      <c r="T74" s="25">
        <v>18</v>
      </c>
      <c r="U74" s="57" t="s">
        <v>143</v>
      </c>
      <c r="V74" s="25">
        <v>0</v>
      </c>
      <c r="W74" s="57" t="s">
        <v>143</v>
      </c>
      <c r="XFA74"/>
      <c r="XFB74"/>
    </row>
    <row r="75" spans="1:23 16381:16382" ht="15" x14ac:dyDescent="0.2">
      <c r="A75" s="23" t="s">
        <v>72</v>
      </c>
      <c r="B75" s="24" t="s">
        <v>89</v>
      </c>
      <c r="C75" s="24" t="s">
        <v>101</v>
      </c>
      <c r="D75" s="85">
        <v>1</v>
      </c>
      <c r="E75" s="86" t="s">
        <v>137</v>
      </c>
      <c r="F75" s="25">
        <v>16.7</v>
      </c>
      <c r="G75" s="57" t="s">
        <v>143</v>
      </c>
      <c r="H75" s="25">
        <v>19.899999999999999</v>
      </c>
      <c r="I75" s="57" t="s">
        <v>143</v>
      </c>
      <c r="J75" s="76" t="s">
        <v>163</v>
      </c>
      <c r="K75" s="57" t="s">
        <v>143</v>
      </c>
      <c r="L75" s="25">
        <v>13.95</v>
      </c>
      <c r="M75" s="57" t="s">
        <v>143</v>
      </c>
      <c r="N75" s="25">
        <v>18.95</v>
      </c>
      <c r="O75" s="57" t="s">
        <v>143</v>
      </c>
      <c r="P75" s="25">
        <v>15.5</v>
      </c>
      <c r="Q75" s="57" t="s">
        <v>143</v>
      </c>
      <c r="R75" s="25">
        <v>12.75</v>
      </c>
      <c r="S75" s="57" t="s">
        <v>143</v>
      </c>
      <c r="T75" s="25">
        <v>18</v>
      </c>
      <c r="U75" s="57" t="s">
        <v>143</v>
      </c>
      <c r="V75" s="25">
        <v>0</v>
      </c>
      <c r="W75" s="57" t="s">
        <v>143</v>
      </c>
      <c r="XFA75"/>
      <c r="XFB75"/>
    </row>
    <row r="76" spans="1:23 16381:16382" ht="15" x14ac:dyDescent="0.2">
      <c r="A76" s="28" t="s">
        <v>61</v>
      </c>
      <c r="B76" s="29"/>
      <c r="C76" s="29" t="s">
        <v>91</v>
      </c>
      <c r="D76" s="91"/>
      <c r="E76" s="92"/>
      <c r="F76" s="30"/>
      <c r="G76" s="58">
        <f>SUM(G52:G75)</f>
        <v>428773.5</v>
      </c>
      <c r="H76" s="30"/>
      <c r="I76" s="58">
        <f>SUM(I52:I75)</f>
        <v>423458.55000000005</v>
      </c>
      <c r="J76" s="31"/>
      <c r="K76" s="58">
        <f>SUM(K52:K75)</f>
        <v>441804.64999999997</v>
      </c>
      <c r="L76" s="30"/>
      <c r="M76" s="58">
        <f>SUM(M52:M75)</f>
        <v>459704.25</v>
      </c>
      <c r="N76" s="30"/>
      <c r="O76" s="58">
        <f>SUM(O52:O75)</f>
        <v>483530</v>
      </c>
      <c r="P76" s="30"/>
      <c r="Q76" s="58">
        <f>SUM(Q52:Q75)</f>
        <v>467152.5</v>
      </c>
      <c r="R76" s="30"/>
      <c r="S76" s="58">
        <f>SUM(S52:S75)</f>
        <v>473000.20000000007</v>
      </c>
      <c r="T76" s="30"/>
      <c r="U76" s="58">
        <f>SUM(U52:U75)</f>
        <v>515775</v>
      </c>
      <c r="V76" s="30"/>
      <c r="W76" s="58">
        <f>SUM(W52:W75)</f>
        <v>0</v>
      </c>
      <c r="XFA76"/>
      <c r="XFB76"/>
    </row>
    <row r="77" spans="1:23 16381:16382" ht="15" x14ac:dyDescent="0.2">
      <c r="A77" s="23"/>
      <c r="B77" s="24"/>
      <c r="C77" s="24"/>
      <c r="D77" s="85"/>
      <c r="E77" s="86"/>
      <c r="F77" s="25"/>
      <c r="G77" s="57"/>
      <c r="H77" s="25"/>
      <c r="I77" s="57"/>
      <c r="J77" s="26"/>
      <c r="K77" s="57"/>
      <c r="L77" s="25"/>
      <c r="M77" s="57"/>
      <c r="N77" s="25"/>
      <c r="O77" s="57"/>
      <c r="P77" s="25"/>
      <c r="Q77" s="57"/>
      <c r="R77" s="25"/>
      <c r="S77" s="57"/>
      <c r="T77" s="25"/>
      <c r="U77" s="57"/>
      <c r="V77" s="25"/>
      <c r="W77" s="57"/>
      <c r="XFA77"/>
      <c r="XFB77"/>
    </row>
    <row r="78" spans="1:23 16381:16382" ht="15" x14ac:dyDescent="0.2">
      <c r="A78" s="23" t="s">
        <v>74</v>
      </c>
      <c r="B78" s="24"/>
      <c r="C78" s="24" t="s">
        <v>130</v>
      </c>
      <c r="D78" s="85">
        <v>400</v>
      </c>
      <c r="E78" s="86" t="s">
        <v>135</v>
      </c>
      <c r="F78" s="25">
        <v>52.85</v>
      </c>
      <c r="G78" s="57">
        <f>$D78*F78</f>
        <v>21140</v>
      </c>
      <c r="H78" s="70">
        <v>53.25</v>
      </c>
      <c r="I78" s="57">
        <f>$D78*H78</f>
        <v>21300</v>
      </c>
      <c r="J78" s="26">
        <v>67</v>
      </c>
      <c r="K78" s="57">
        <f t="shared" ref="K78" si="50">$D78*J78</f>
        <v>26800</v>
      </c>
      <c r="L78" s="25">
        <v>56.45</v>
      </c>
      <c r="M78" s="57">
        <f>$D78*L78</f>
        <v>22580</v>
      </c>
      <c r="N78" s="25">
        <v>58.5</v>
      </c>
      <c r="O78" s="57">
        <f>$D78*N78</f>
        <v>23400</v>
      </c>
      <c r="P78" s="25">
        <v>52.5</v>
      </c>
      <c r="Q78" s="57">
        <f>$D78*P78</f>
        <v>21000</v>
      </c>
      <c r="R78" s="25">
        <v>55.33</v>
      </c>
      <c r="S78" s="57">
        <f>$D78*R78</f>
        <v>22132</v>
      </c>
      <c r="T78" s="25">
        <v>85</v>
      </c>
      <c r="U78" s="57">
        <f>$D78*T78</f>
        <v>34000</v>
      </c>
      <c r="V78" s="25">
        <v>0</v>
      </c>
      <c r="W78" s="57">
        <f t="shared" ref="W78" si="51">$D78*V78</f>
        <v>0</v>
      </c>
      <c r="XFA78"/>
      <c r="XFB78"/>
    </row>
    <row r="79" spans="1:23 16381:16382" ht="15" x14ac:dyDescent="0.2">
      <c r="A79" s="23" t="s">
        <v>75</v>
      </c>
      <c r="B79" s="24"/>
      <c r="C79" s="24" t="s">
        <v>118</v>
      </c>
      <c r="D79" s="85">
        <v>293</v>
      </c>
      <c r="E79" s="86" t="s">
        <v>135</v>
      </c>
      <c r="F79" s="25">
        <v>74</v>
      </c>
      <c r="G79" s="57">
        <f>$D79*F79</f>
        <v>21682</v>
      </c>
      <c r="H79" s="70">
        <v>97.42</v>
      </c>
      <c r="I79" s="57">
        <f>$D79*H79</f>
        <v>28544.06</v>
      </c>
      <c r="J79" s="26">
        <v>78</v>
      </c>
      <c r="K79" s="57">
        <f t="shared" ref="K79" si="52">$D79*J79</f>
        <v>22854</v>
      </c>
      <c r="L79" s="25">
        <v>63.05</v>
      </c>
      <c r="M79" s="57">
        <f>$D79*L79</f>
        <v>18473.649999999998</v>
      </c>
      <c r="N79" s="70" t="s">
        <v>168</v>
      </c>
      <c r="O79" s="57"/>
      <c r="P79" s="25">
        <v>67.8</v>
      </c>
      <c r="Q79" s="57">
        <f>$D79*P79</f>
        <v>19865.399999999998</v>
      </c>
      <c r="R79" s="25">
        <v>70.319999999999993</v>
      </c>
      <c r="S79" s="57">
        <f>$D79*R79</f>
        <v>20603.759999999998</v>
      </c>
      <c r="T79" s="25">
        <v>85</v>
      </c>
      <c r="U79" s="57">
        <f>$D79*T79</f>
        <v>24905</v>
      </c>
      <c r="V79" s="25">
        <v>0</v>
      </c>
      <c r="W79" s="57">
        <f t="shared" ref="W79" si="53">$D79*V79</f>
        <v>0</v>
      </c>
      <c r="XFA79"/>
      <c r="XFB79"/>
    </row>
    <row r="80" spans="1:23 16381:16382" ht="15" x14ac:dyDescent="0.2">
      <c r="A80" s="23" t="s">
        <v>76</v>
      </c>
      <c r="B80" s="24"/>
      <c r="C80" s="24" t="s">
        <v>106</v>
      </c>
      <c r="D80" s="85">
        <v>390</v>
      </c>
      <c r="E80" s="86" t="s">
        <v>137</v>
      </c>
      <c r="F80" s="25">
        <v>11.7</v>
      </c>
      <c r="G80" s="57">
        <f>$D80*F80</f>
        <v>4563</v>
      </c>
      <c r="H80" s="25">
        <v>8.9</v>
      </c>
      <c r="I80" s="57">
        <f>$D80*H80</f>
        <v>3471</v>
      </c>
      <c r="J80" s="26">
        <v>6.4</v>
      </c>
      <c r="K80" s="57">
        <f t="shared" ref="K80" si="54">$D80*J80</f>
        <v>2496</v>
      </c>
      <c r="L80" s="25">
        <v>8.5500000000000007</v>
      </c>
      <c r="M80" s="57">
        <f>$D80*L80</f>
        <v>3334.5000000000005</v>
      </c>
      <c r="N80" s="25">
        <v>7.95</v>
      </c>
      <c r="O80" s="57">
        <f>$D80*N80</f>
        <v>3100.5</v>
      </c>
      <c r="P80" s="25">
        <v>8.5</v>
      </c>
      <c r="Q80" s="57">
        <f>$D80*P80</f>
        <v>3315</v>
      </c>
      <c r="R80" s="25">
        <v>7.2</v>
      </c>
      <c r="S80" s="57">
        <f>$D80*R80</f>
        <v>2808</v>
      </c>
      <c r="T80" s="25">
        <v>10</v>
      </c>
      <c r="U80" s="57">
        <f>$D80*T80</f>
        <v>3900</v>
      </c>
      <c r="V80" s="25">
        <v>0</v>
      </c>
      <c r="W80" s="57">
        <f t="shared" ref="W80" si="55">$D80*V80</f>
        <v>0</v>
      </c>
      <c r="XFA80"/>
      <c r="XFB80"/>
    </row>
    <row r="81" spans="1:23 16381:16382" ht="15" x14ac:dyDescent="0.2">
      <c r="A81" s="23" t="s">
        <v>77</v>
      </c>
      <c r="B81" s="24"/>
      <c r="C81" s="24" t="s">
        <v>121</v>
      </c>
      <c r="D81" s="85">
        <v>362</v>
      </c>
      <c r="E81" s="86" t="s">
        <v>137</v>
      </c>
      <c r="F81" s="25">
        <v>12.8</v>
      </c>
      <c r="G81" s="57">
        <f>$D81*F81</f>
        <v>4633.6000000000004</v>
      </c>
      <c r="H81" s="25">
        <v>7.9</v>
      </c>
      <c r="I81" s="57">
        <f>$D81*H81</f>
        <v>2859.8</v>
      </c>
      <c r="J81" s="26">
        <v>12.9</v>
      </c>
      <c r="K81" s="57">
        <f t="shared" ref="K81" si="56">$D81*J81</f>
        <v>4669.8</v>
      </c>
      <c r="L81" s="25">
        <v>11.85</v>
      </c>
      <c r="M81" s="57">
        <f>$D81*L81</f>
        <v>4289.7</v>
      </c>
      <c r="N81" s="25">
        <v>13.9</v>
      </c>
      <c r="O81" s="57">
        <f>$D81*N81</f>
        <v>5031.8</v>
      </c>
      <c r="P81" s="25">
        <v>9.5</v>
      </c>
      <c r="Q81" s="57">
        <f>$D81*P81</f>
        <v>3439</v>
      </c>
      <c r="R81" s="25">
        <v>5.75</v>
      </c>
      <c r="S81" s="57">
        <f>$D81*R81</f>
        <v>2081.5</v>
      </c>
      <c r="T81" s="25">
        <v>12</v>
      </c>
      <c r="U81" s="57">
        <f>$D81*T81</f>
        <v>4344</v>
      </c>
      <c r="V81" s="25">
        <v>0</v>
      </c>
      <c r="W81" s="57">
        <f t="shared" ref="W81" si="57">$D81*V81</f>
        <v>0</v>
      </c>
      <c r="XFA81"/>
      <c r="XFB81"/>
    </row>
    <row r="82" spans="1:23 16381:16382" ht="15" x14ac:dyDescent="0.2">
      <c r="A82" s="28" t="s">
        <v>73</v>
      </c>
      <c r="B82" s="29"/>
      <c r="C82" s="29" t="s">
        <v>112</v>
      </c>
      <c r="D82" s="91"/>
      <c r="E82" s="92"/>
      <c r="F82" s="30"/>
      <c r="G82" s="58">
        <f>SUM(G78:G81)</f>
        <v>52018.6</v>
      </c>
      <c r="H82" s="30"/>
      <c r="I82" s="58">
        <f>SUM(I78:I81)</f>
        <v>56174.86</v>
      </c>
      <c r="J82" s="31"/>
      <c r="K82" s="58">
        <f>SUM(K78:K81)</f>
        <v>56819.8</v>
      </c>
      <c r="L82" s="30"/>
      <c r="M82" s="58">
        <f>SUM(M78:M81)</f>
        <v>48677.849999999991</v>
      </c>
      <c r="N82" s="30"/>
      <c r="O82" s="58">
        <f>SUM(O78:O81)</f>
        <v>31532.3</v>
      </c>
      <c r="P82" s="30"/>
      <c r="Q82" s="58">
        <f>SUM(Q78:Q81)</f>
        <v>47619.399999999994</v>
      </c>
      <c r="R82" s="30"/>
      <c r="S82" s="58">
        <f>SUM(S78:S81)</f>
        <v>47625.259999999995</v>
      </c>
      <c r="T82" s="30"/>
      <c r="U82" s="58">
        <f>SUM(U78:U81)</f>
        <v>67149</v>
      </c>
      <c r="V82" s="30"/>
      <c r="W82" s="58">
        <f>SUM(W78:W81)</f>
        <v>0</v>
      </c>
      <c r="XFA82"/>
      <c r="XFB82"/>
    </row>
    <row r="83" spans="1:23 16381:16382" ht="15" x14ac:dyDescent="0.2">
      <c r="A83" s="23"/>
      <c r="B83" s="24"/>
      <c r="C83" s="24"/>
      <c r="D83" s="85"/>
      <c r="E83" s="86"/>
      <c r="F83" s="25"/>
      <c r="G83" s="57"/>
      <c r="H83" s="25"/>
      <c r="I83" s="57"/>
      <c r="J83" s="26"/>
      <c r="K83" s="57"/>
      <c r="L83" s="25"/>
      <c r="M83" s="57"/>
      <c r="N83" s="25"/>
      <c r="O83" s="57"/>
      <c r="P83" s="25"/>
      <c r="Q83" s="57"/>
      <c r="R83" s="25"/>
      <c r="S83" s="57"/>
      <c r="T83" s="25"/>
      <c r="U83" s="57"/>
      <c r="V83" s="25"/>
      <c r="W83" s="57"/>
      <c r="XFA83"/>
      <c r="XFB83"/>
    </row>
    <row r="84" spans="1:23 16381:16382" ht="15" x14ac:dyDescent="0.2">
      <c r="A84" s="23" t="s">
        <v>79</v>
      </c>
      <c r="B84" s="24" t="s">
        <v>89</v>
      </c>
      <c r="C84" s="24" t="s">
        <v>123</v>
      </c>
      <c r="D84" s="85">
        <v>1</v>
      </c>
      <c r="E84" s="86" t="s">
        <v>137</v>
      </c>
      <c r="F84" s="25">
        <v>12.8</v>
      </c>
      <c r="G84" s="57" t="s">
        <v>143</v>
      </c>
      <c r="H84" s="25">
        <v>16.899999999999999</v>
      </c>
      <c r="I84" s="57" t="s">
        <v>143</v>
      </c>
      <c r="J84" s="26">
        <v>24</v>
      </c>
      <c r="K84" s="57" t="s">
        <v>143</v>
      </c>
      <c r="L84" s="25">
        <v>8.85</v>
      </c>
      <c r="M84" s="57" t="s">
        <v>143</v>
      </c>
      <c r="N84" s="25">
        <v>14.35</v>
      </c>
      <c r="O84" s="57" t="s">
        <v>143</v>
      </c>
      <c r="P84" s="25">
        <v>12.5</v>
      </c>
      <c r="Q84" s="57" t="s">
        <v>143</v>
      </c>
      <c r="R84" s="25">
        <v>9.75</v>
      </c>
      <c r="S84" s="57" t="s">
        <v>143</v>
      </c>
      <c r="T84" s="25">
        <v>18</v>
      </c>
      <c r="U84" s="57" t="s">
        <v>143</v>
      </c>
      <c r="V84" s="25">
        <v>0</v>
      </c>
      <c r="W84" s="57" t="s">
        <v>143</v>
      </c>
      <c r="XFA84"/>
      <c r="XFB84"/>
    </row>
    <row r="85" spans="1:23 16381:16382" ht="15" x14ac:dyDescent="0.2">
      <c r="A85" s="23" t="s">
        <v>80</v>
      </c>
      <c r="B85" s="24" t="s">
        <v>89</v>
      </c>
      <c r="C85" s="24" t="s">
        <v>124</v>
      </c>
      <c r="D85" s="85">
        <v>1</v>
      </c>
      <c r="E85" s="86" t="s">
        <v>137</v>
      </c>
      <c r="F85" s="25">
        <v>7.95</v>
      </c>
      <c r="G85" s="57" t="s">
        <v>143</v>
      </c>
      <c r="H85" s="25">
        <v>9.9</v>
      </c>
      <c r="I85" s="57" t="s">
        <v>143</v>
      </c>
      <c r="J85" s="26">
        <v>9</v>
      </c>
      <c r="K85" s="57" t="s">
        <v>143</v>
      </c>
      <c r="L85" s="25">
        <v>7.9</v>
      </c>
      <c r="M85" s="57" t="s">
        <v>143</v>
      </c>
      <c r="N85" s="25">
        <v>9</v>
      </c>
      <c r="O85" s="57" t="s">
        <v>143</v>
      </c>
      <c r="P85" s="25">
        <v>8.5</v>
      </c>
      <c r="Q85" s="57" t="s">
        <v>143</v>
      </c>
      <c r="R85" s="25">
        <v>6.85</v>
      </c>
      <c r="S85" s="57" t="s">
        <v>143</v>
      </c>
      <c r="T85" s="25">
        <v>10</v>
      </c>
      <c r="U85" s="57" t="s">
        <v>143</v>
      </c>
      <c r="V85" s="25">
        <v>0</v>
      </c>
      <c r="W85" s="57" t="s">
        <v>143</v>
      </c>
      <c r="XFA85"/>
      <c r="XFB85"/>
    </row>
    <row r="86" spans="1:23 16381:16382" ht="15" x14ac:dyDescent="0.2">
      <c r="A86" s="23" t="s">
        <v>81</v>
      </c>
      <c r="B86" s="24" t="s">
        <v>89</v>
      </c>
      <c r="C86" s="24" t="s">
        <v>125</v>
      </c>
      <c r="D86" s="85">
        <v>1</v>
      </c>
      <c r="E86" s="86" t="s">
        <v>137</v>
      </c>
      <c r="F86" s="25">
        <v>7.95</v>
      </c>
      <c r="G86" s="57" t="s">
        <v>143</v>
      </c>
      <c r="H86" s="25">
        <v>9.9</v>
      </c>
      <c r="I86" s="57" t="s">
        <v>143</v>
      </c>
      <c r="J86" s="26">
        <v>12</v>
      </c>
      <c r="K86" s="57" t="s">
        <v>143</v>
      </c>
      <c r="L86" s="25">
        <v>7.9</v>
      </c>
      <c r="M86" s="57" t="s">
        <v>143</v>
      </c>
      <c r="N86" s="25">
        <v>9</v>
      </c>
      <c r="O86" s="57" t="s">
        <v>143</v>
      </c>
      <c r="P86" s="25">
        <v>8.5</v>
      </c>
      <c r="Q86" s="57" t="s">
        <v>143</v>
      </c>
      <c r="R86" s="25">
        <v>7.1</v>
      </c>
      <c r="S86" s="57" t="s">
        <v>143</v>
      </c>
      <c r="T86" s="25">
        <v>10</v>
      </c>
      <c r="U86" s="57" t="s">
        <v>143</v>
      </c>
      <c r="V86" s="25">
        <v>0</v>
      </c>
      <c r="W86" s="57" t="s">
        <v>143</v>
      </c>
      <c r="XFA86"/>
      <c r="XFB86"/>
    </row>
    <row r="87" spans="1:23 16381:16382" ht="15" x14ac:dyDescent="0.2">
      <c r="A87" s="23" t="s">
        <v>82</v>
      </c>
      <c r="B87" s="24" t="s">
        <v>89</v>
      </c>
      <c r="C87" s="24" t="s">
        <v>126</v>
      </c>
      <c r="D87" s="85">
        <v>1</v>
      </c>
      <c r="E87" s="86" t="s">
        <v>136</v>
      </c>
      <c r="F87" s="25">
        <v>12.8</v>
      </c>
      <c r="G87" s="57" t="s">
        <v>143</v>
      </c>
      <c r="H87" s="25">
        <v>42.5</v>
      </c>
      <c r="I87" s="57" t="s">
        <v>143</v>
      </c>
      <c r="J87" s="26">
        <v>30</v>
      </c>
      <c r="K87" s="57" t="s">
        <v>143</v>
      </c>
      <c r="L87" s="25">
        <v>18.149999999999999</v>
      </c>
      <c r="M87" s="57" t="s">
        <v>143</v>
      </c>
      <c r="N87" s="25">
        <v>35</v>
      </c>
      <c r="O87" s="57" t="s">
        <v>143</v>
      </c>
      <c r="P87" s="25">
        <v>50</v>
      </c>
      <c r="Q87" s="57" t="s">
        <v>143</v>
      </c>
      <c r="R87" s="25">
        <v>50</v>
      </c>
      <c r="S87" s="57" t="s">
        <v>143</v>
      </c>
      <c r="T87" s="25">
        <v>55</v>
      </c>
      <c r="U87" s="57" t="s">
        <v>143</v>
      </c>
      <c r="V87" s="25">
        <v>0</v>
      </c>
      <c r="W87" s="57" t="s">
        <v>143</v>
      </c>
      <c r="XFA87"/>
      <c r="XFB87"/>
    </row>
    <row r="88" spans="1:23 16381:16382" ht="15" x14ac:dyDescent="0.2">
      <c r="A88" s="23" t="s">
        <v>83</v>
      </c>
      <c r="B88" s="24" t="s">
        <v>89</v>
      </c>
      <c r="C88" s="24" t="s">
        <v>127</v>
      </c>
      <c r="D88" s="85">
        <v>1</v>
      </c>
      <c r="E88" s="86" t="s">
        <v>135</v>
      </c>
      <c r="F88" s="25">
        <v>14.15</v>
      </c>
      <c r="G88" s="57" t="s">
        <v>143</v>
      </c>
      <c r="H88" s="25">
        <v>8.9</v>
      </c>
      <c r="I88" s="57" t="s">
        <v>143</v>
      </c>
      <c r="J88" s="76" t="s">
        <v>163</v>
      </c>
      <c r="K88" s="57" t="s">
        <v>143</v>
      </c>
      <c r="L88" s="25">
        <v>13.95</v>
      </c>
      <c r="M88" s="57" t="s">
        <v>143</v>
      </c>
      <c r="N88" s="25">
        <v>18.2</v>
      </c>
      <c r="O88" s="57" t="s">
        <v>143</v>
      </c>
      <c r="P88" s="25">
        <v>14.5</v>
      </c>
      <c r="Q88" s="57" t="s">
        <v>143</v>
      </c>
      <c r="R88" s="25">
        <v>12.75</v>
      </c>
      <c r="S88" s="57" t="s">
        <v>143</v>
      </c>
      <c r="T88" s="25">
        <v>15</v>
      </c>
      <c r="U88" s="57" t="s">
        <v>143</v>
      </c>
      <c r="V88" s="25">
        <v>0</v>
      </c>
      <c r="W88" s="57" t="s">
        <v>143</v>
      </c>
      <c r="XFA88"/>
      <c r="XFB88"/>
    </row>
    <row r="89" spans="1:23 16381:16382" ht="15" x14ac:dyDescent="0.2">
      <c r="A89" s="23" t="s">
        <v>84</v>
      </c>
      <c r="B89" s="24" t="s">
        <v>89</v>
      </c>
      <c r="C89" s="24" t="s">
        <v>128</v>
      </c>
      <c r="D89" s="85">
        <v>1</v>
      </c>
      <c r="E89" s="86" t="s">
        <v>135</v>
      </c>
      <c r="F89" s="25">
        <v>2.35</v>
      </c>
      <c r="G89" s="57" t="s">
        <v>143</v>
      </c>
      <c r="H89" s="25">
        <v>4.9000000000000004</v>
      </c>
      <c r="I89" s="57" t="s">
        <v>143</v>
      </c>
      <c r="J89" s="26">
        <v>2.7</v>
      </c>
      <c r="K89" s="57" t="s">
        <v>143</v>
      </c>
      <c r="L89" s="25">
        <v>3.05</v>
      </c>
      <c r="M89" s="57" t="s">
        <v>143</v>
      </c>
      <c r="N89" s="25">
        <v>2.2000000000000002</v>
      </c>
      <c r="O89" s="57" t="s">
        <v>143</v>
      </c>
      <c r="P89" s="25">
        <v>2.6</v>
      </c>
      <c r="Q89" s="57" t="s">
        <v>143</v>
      </c>
      <c r="R89" s="25">
        <v>1.75</v>
      </c>
      <c r="S89" s="57" t="s">
        <v>143</v>
      </c>
      <c r="T89" s="25">
        <v>6.5</v>
      </c>
      <c r="U89" s="57" t="s">
        <v>143</v>
      </c>
      <c r="V89" s="25">
        <v>0</v>
      </c>
      <c r="W89" s="57" t="s">
        <v>143</v>
      </c>
      <c r="XFA89"/>
      <c r="XFB89"/>
    </row>
    <row r="90" spans="1:23 16381:16382" ht="15" x14ac:dyDescent="0.2">
      <c r="A90" s="28" t="s">
        <v>78</v>
      </c>
      <c r="B90" s="29"/>
      <c r="C90" s="29" t="s">
        <v>122</v>
      </c>
      <c r="D90" s="91"/>
      <c r="E90" s="92"/>
      <c r="F90" s="30"/>
      <c r="G90" s="58">
        <f>SUM(G84:G89)</f>
        <v>0</v>
      </c>
      <c r="H90" s="30"/>
      <c r="I90" s="58">
        <f>SUM(I84:I89)</f>
        <v>0</v>
      </c>
      <c r="J90" s="31"/>
      <c r="K90" s="58">
        <f>SUM(K84:K89)</f>
        <v>0</v>
      </c>
      <c r="L90" s="30"/>
      <c r="M90" s="58">
        <f>SUM(M84:M89)</f>
        <v>0</v>
      </c>
      <c r="N90" s="30"/>
      <c r="O90" s="58">
        <f>SUM(O84:O89)</f>
        <v>0</v>
      </c>
      <c r="P90" s="30"/>
      <c r="Q90" s="58">
        <f>SUM(Q84:Q89)</f>
        <v>0</v>
      </c>
      <c r="R90" s="30"/>
      <c r="S90" s="58">
        <f>SUM(S84:S89)</f>
        <v>0</v>
      </c>
      <c r="T90" s="30"/>
      <c r="U90" s="58">
        <f>SUM(U84:U89)</f>
        <v>0</v>
      </c>
      <c r="V90" s="30"/>
      <c r="W90" s="58">
        <f>SUM(W84:W89)</f>
        <v>0</v>
      </c>
      <c r="XFA90"/>
      <c r="XFB90"/>
    </row>
    <row r="91" spans="1:23 16381:16382" ht="15" x14ac:dyDescent="0.2">
      <c r="A91" s="23"/>
      <c r="B91" s="24"/>
      <c r="C91" s="24"/>
      <c r="D91" s="85"/>
      <c r="E91" s="86"/>
      <c r="F91" s="25"/>
      <c r="G91" s="57"/>
      <c r="H91" s="25"/>
      <c r="I91" s="57"/>
      <c r="J91" s="26"/>
      <c r="K91" s="57"/>
      <c r="L91" s="25"/>
      <c r="M91" s="57"/>
      <c r="N91" s="25"/>
      <c r="O91" s="57"/>
      <c r="P91" s="25"/>
      <c r="Q91" s="57"/>
      <c r="R91" s="25"/>
      <c r="S91" s="57"/>
      <c r="T91" s="25"/>
      <c r="U91" s="57"/>
      <c r="V91" s="25"/>
      <c r="W91" s="57"/>
      <c r="XFA91"/>
      <c r="XFB91"/>
    </row>
    <row r="92" spans="1:23 16381:16382" ht="15" x14ac:dyDescent="0.2">
      <c r="A92" s="23" t="s">
        <v>86</v>
      </c>
      <c r="B92" s="24" t="s">
        <v>89</v>
      </c>
      <c r="C92" s="24" t="s">
        <v>132</v>
      </c>
      <c r="D92" s="85">
        <v>1</v>
      </c>
      <c r="E92" s="86" t="s">
        <v>138</v>
      </c>
      <c r="F92" s="25">
        <v>48</v>
      </c>
      <c r="G92" s="57" t="s">
        <v>143</v>
      </c>
      <c r="H92" s="25">
        <v>42.5</v>
      </c>
      <c r="I92" s="57" t="s">
        <v>143</v>
      </c>
      <c r="J92" s="26">
        <v>48</v>
      </c>
      <c r="K92" s="57" t="s">
        <v>143</v>
      </c>
      <c r="L92" s="25">
        <v>45</v>
      </c>
      <c r="M92" s="57" t="s">
        <v>143</v>
      </c>
      <c r="N92" s="25">
        <v>51.5</v>
      </c>
      <c r="O92" s="57" t="s">
        <v>143</v>
      </c>
      <c r="P92" s="25">
        <v>45</v>
      </c>
      <c r="Q92" s="57" t="s">
        <v>143</v>
      </c>
      <c r="R92" s="25">
        <v>45</v>
      </c>
      <c r="S92" s="57" t="s">
        <v>143</v>
      </c>
      <c r="T92" s="25">
        <v>55</v>
      </c>
      <c r="U92" s="57" t="s">
        <v>143</v>
      </c>
      <c r="V92" s="25">
        <v>0</v>
      </c>
      <c r="W92" s="57" t="s">
        <v>143</v>
      </c>
      <c r="XFA92"/>
      <c r="XFB92"/>
    </row>
    <row r="93" spans="1:23 16381:16382" ht="15" x14ac:dyDescent="0.2">
      <c r="A93" s="23" t="s">
        <v>87</v>
      </c>
      <c r="B93" s="24" t="s">
        <v>89</v>
      </c>
      <c r="C93" s="24" t="s">
        <v>133</v>
      </c>
      <c r="D93" s="85">
        <v>1</v>
      </c>
      <c r="E93" s="86" t="s">
        <v>138</v>
      </c>
      <c r="F93" s="25">
        <v>48</v>
      </c>
      <c r="G93" s="57" t="s">
        <v>143</v>
      </c>
      <c r="H93" s="25">
        <v>42.5</v>
      </c>
      <c r="I93" s="57" t="s">
        <v>143</v>
      </c>
      <c r="J93" s="26">
        <v>46</v>
      </c>
      <c r="K93" s="57" t="s">
        <v>143</v>
      </c>
      <c r="L93" s="25">
        <v>42</v>
      </c>
      <c r="M93" s="57" t="s">
        <v>143</v>
      </c>
      <c r="N93" s="25">
        <v>51.5</v>
      </c>
      <c r="O93" s="57" t="s">
        <v>143</v>
      </c>
      <c r="P93" s="25">
        <v>42</v>
      </c>
      <c r="Q93" s="57" t="s">
        <v>143</v>
      </c>
      <c r="R93" s="25">
        <v>41</v>
      </c>
      <c r="S93" s="57" t="s">
        <v>143</v>
      </c>
      <c r="T93" s="25">
        <v>55</v>
      </c>
      <c r="U93" s="57" t="s">
        <v>143</v>
      </c>
      <c r="V93" s="25">
        <v>0</v>
      </c>
      <c r="W93" s="57" t="s">
        <v>143</v>
      </c>
      <c r="XFA93"/>
      <c r="XFB93"/>
    </row>
    <row r="94" spans="1:23 16381:16382" ht="15" x14ac:dyDescent="0.2">
      <c r="A94" s="23" t="s">
        <v>88</v>
      </c>
      <c r="B94" s="24" t="s">
        <v>89</v>
      </c>
      <c r="C94" s="24" t="s">
        <v>134</v>
      </c>
      <c r="D94" s="85">
        <v>1</v>
      </c>
      <c r="E94" s="86" t="s">
        <v>138</v>
      </c>
      <c r="F94" s="25" t="s">
        <v>163</v>
      </c>
      <c r="G94" s="57" t="s">
        <v>143</v>
      </c>
      <c r="H94" s="25">
        <v>29.5</v>
      </c>
      <c r="I94" s="57" t="s">
        <v>143</v>
      </c>
      <c r="J94" s="26">
        <v>46</v>
      </c>
      <c r="K94" s="57" t="s">
        <v>143</v>
      </c>
      <c r="L94" s="25">
        <v>40</v>
      </c>
      <c r="M94" s="57" t="s">
        <v>143</v>
      </c>
      <c r="N94" s="25">
        <v>40</v>
      </c>
      <c r="O94" s="57" t="s">
        <v>143</v>
      </c>
      <c r="P94" s="25">
        <v>36</v>
      </c>
      <c r="Q94" s="57" t="s">
        <v>143</v>
      </c>
      <c r="R94" s="25">
        <v>33</v>
      </c>
      <c r="S94" s="57" t="s">
        <v>143</v>
      </c>
      <c r="T94" s="25">
        <v>55</v>
      </c>
      <c r="U94" s="57" t="s">
        <v>143</v>
      </c>
      <c r="V94" s="25">
        <v>0</v>
      </c>
      <c r="W94" s="57" t="s">
        <v>143</v>
      </c>
      <c r="XFA94"/>
      <c r="XFB94"/>
    </row>
    <row r="95" spans="1:23 16381:16382" ht="15" x14ac:dyDescent="0.2">
      <c r="A95" s="28" t="s">
        <v>85</v>
      </c>
      <c r="B95" s="29"/>
      <c r="C95" s="29" t="s">
        <v>131</v>
      </c>
      <c r="D95" s="91"/>
      <c r="E95" s="92"/>
      <c r="F95" s="30"/>
      <c r="G95" s="59">
        <f>SUM(G92:G94)</f>
        <v>0</v>
      </c>
      <c r="H95" s="30"/>
      <c r="I95" s="59">
        <f>SUM(I92:I94)</f>
        <v>0</v>
      </c>
      <c r="J95" s="31"/>
      <c r="K95" s="59">
        <f>SUM(K92:K94)</f>
        <v>0</v>
      </c>
      <c r="L95" s="30"/>
      <c r="M95" s="59">
        <f>SUM(M92:M94)</f>
        <v>0</v>
      </c>
      <c r="N95" s="30"/>
      <c r="O95" s="59">
        <f>SUM(O92:O94)</f>
        <v>0</v>
      </c>
      <c r="P95" s="30"/>
      <c r="Q95" s="59">
        <f>SUM(Q92:Q94)</f>
        <v>0</v>
      </c>
      <c r="R95" s="30"/>
      <c r="S95" s="59">
        <f>SUM(S92:S94)</f>
        <v>0</v>
      </c>
      <c r="T95" s="30"/>
      <c r="U95" s="59">
        <f>SUM(U92:U94)</f>
        <v>0</v>
      </c>
      <c r="V95" s="30"/>
      <c r="W95" s="59">
        <f>SUM(W92:W94)</f>
        <v>0</v>
      </c>
      <c r="XFA95"/>
      <c r="XFB95"/>
    </row>
    <row r="96" spans="1:23 16381:16382" ht="15" x14ac:dyDescent="0.2">
      <c r="A96" s="23"/>
      <c r="B96" s="24"/>
      <c r="C96" s="24"/>
      <c r="D96" s="85"/>
      <c r="E96" s="86"/>
      <c r="F96" s="25"/>
      <c r="G96" s="60"/>
      <c r="H96" s="25"/>
      <c r="I96" s="60"/>
      <c r="J96" s="26"/>
      <c r="K96" s="60"/>
      <c r="L96" s="25"/>
      <c r="M96" s="60"/>
      <c r="N96" s="25"/>
      <c r="O96" s="60"/>
      <c r="P96" s="25"/>
      <c r="Q96" s="60"/>
      <c r="R96" s="25"/>
      <c r="S96" s="60"/>
      <c r="T96" s="25"/>
      <c r="U96" s="60"/>
      <c r="V96" s="25"/>
      <c r="W96" s="60"/>
      <c r="XFA96"/>
      <c r="XFB96"/>
    </row>
    <row r="97" spans="1:23 16381:16382" ht="16" thickBot="1" x14ac:dyDescent="0.25">
      <c r="A97" s="32"/>
      <c r="B97" s="33"/>
      <c r="C97" s="34" t="s">
        <v>139</v>
      </c>
      <c r="D97" s="85"/>
      <c r="E97" s="86"/>
      <c r="F97" s="25"/>
      <c r="G97" s="60"/>
      <c r="H97" s="25"/>
      <c r="I97" s="60"/>
      <c r="J97" s="26"/>
      <c r="K97" s="60"/>
      <c r="L97" s="25"/>
      <c r="M97" s="60"/>
      <c r="N97" s="25"/>
      <c r="O97" s="60"/>
      <c r="P97" s="25"/>
      <c r="Q97" s="60"/>
      <c r="R97" s="25"/>
      <c r="S97" s="60"/>
      <c r="T97" s="25"/>
      <c r="U97" s="60"/>
      <c r="V97" s="25"/>
      <c r="W97" s="60"/>
      <c r="XFA97"/>
      <c r="XFB97"/>
    </row>
    <row r="98" spans="1:23 16381:16382" ht="15" x14ac:dyDescent="0.2">
      <c r="A98" s="35" t="str">
        <f>27:27</f>
        <v>01.01.01.</v>
      </c>
      <c r="B98" s="36"/>
      <c r="C98" s="36" t="s">
        <v>91</v>
      </c>
      <c r="D98" s="93"/>
      <c r="E98" s="94"/>
      <c r="F98" s="37"/>
      <c r="G98" s="119">
        <f>G27</f>
        <v>256631.95</v>
      </c>
      <c r="H98" s="37"/>
      <c r="I98" s="61">
        <f>I27</f>
        <v>255234.35000000003</v>
      </c>
      <c r="J98" s="38">
        <v>19</v>
      </c>
      <c r="K98" s="61">
        <f>K27</f>
        <v>265366.33</v>
      </c>
      <c r="L98" s="37"/>
      <c r="M98" s="61">
        <f>M27</f>
        <v>277381.05</v>
      </c>
      <c r="N98" s="37"/>
      <c r="O98" s="61">
        <f>O27</f>
        <v>290167.80000000005</v>
      </c>
      <c r="P98" s="37"/>
      <c r="Q98" s="61">
        <f>Q27</f>
        <v>278549</v>
      </c>
      <c r="R98" s="37"/>
      <c r="S98" s="61">
        <f>S27</f>
        <v>284265.52</v>
      </c>
      <c r="T98" s="37"/>
      <c r="U98" s="61">
        <f>U27</f>
        <v>307672</v>
      </c>
      <c r="V98" s="37"/>
      <c r="W98" s="61">
        <f>W27</f>
        <v>0</v>
      </c>
      <c r="XFA98"/>
      <c r="XFB98"/>
    </row>
    <row r="99" spans="1:23 16381:16382" ht="15" x14ac:dyDescent="0.2">
      <c r="A99" s="35" t="str">
        <f>A39</f>
        <v>01.01.02.</v>
      </c>
      <c r="B99" s="36"/>
      <c r="C99" s="36" t="s">
        <v>102</v>
      </c>
      <c r="D99" s="93"/>
      <c r="E99" s="94"/>
      <c r="F99" s="37"/>
      <c r="G99" s="119">
        <f>G39</f>
        <v>86564.2</v>
      </c>
      <c r="H99" s="37"/>
      <c r="I99" s="61">
        <f>I39</f>
        <v>99625.799999999988</v>
      </c>
      <c r="J99" s="38"/>
      <c r="K99" s="61">
        <f>K39</f>
        <v>90128.6</v>
      </c>
      <c r="L99" s="37"/>
      <c r="M99" s="61">
        <f>M39</f>
        <v>100730.25</v>
      </c>
      <c r="N99" s="37"/>
      <c r="O99" s="61">
        <f>O39</f>
        <v>95645.3</v>
      </c>
      <c r="P99" s="37"/>
      <c r="Q99" s="61">
        <f>Q39</f>
        <v>99952.5</v>
      </c>
      <c r="R99" s="37"/>
      <c r="S99" s="61">
        <f>S39</f>
        <v>97725.1</v>
      </c>
      <c r="T99" s="37"/>
      <c r="U99" s="61">
        <f>U39</f>
        <v>105215</v>
      </c>
      <c r="V99" s="37"/>
      <c r="W99" s="61">
        <f>W39</f>
        <v>0</v>
      </c>
      <c r="XFA99"/>
      <c r="XFB99"/>
    </row>
    <row r="100" spans="1:23 16381:16382" ht="15" x14ac:dyDescent="0.2">
      <c r="A100" s="35" t="str">
        <f>A50</f>
        <v>01.01.03.</v>
      </c>
      <c r="B100" s="36"/>
      <c r="C100" s="36" t="s">
        <v>112</v>
      </c>
      <c r="D100" s="93"/>
      <c r="E100" s="94"/>
      <c r="F100" s="37"/>
      <c r="G100" s="61">
        <f>G50</f>
        <v>29135.65</v>
      </c>
      <c r="H100" s="37"/>
      <c r="I100" s="61">
        <f>I50</f>
        <v>33071.269999999997</v>
      </c>
      <c r="J100" s="38">
        <v>0</v>
      </c>
      <c r="K100" s="61">
        <f>K50</f>
        <v>32722.699999999997</v>
      </c>
      <c r="L100" s="37"/>
      <c r="M100" s="61">
        <f>M50</f>
        <v>27426.800000000003</v>
      </c>
      <c r="N100" s="37"/>
      <c r="O100" s="119">
        <f>O50</f>
        <v>16211.2</v>
      </c>
      <c r="P100" s="37"/>
      <c r="Q100" s="61">
        <f>Q50</f>
        <v>26765.8</v>
      </c>
      <c r="R100" s="37"/>
      <c r="S100" s="61">
        <f>S50</f>
        <v>22621.94</v>
      </c>
      <c r="T100" s="37"/>
      <c r="U100" s="61">
        <f>U50</f>
        <v>29302</v>
      </c>
      <c r="V100" s="37"/>
      <c r="W100" s="61">
        <f>W50</f>
        <v>0</v>
      </c>
      <c r="XFA100"/>
      <c r="XFB100"/>
    </row>
    <row r="101" spans="1:23 16381:16382" ht="15" x14ac:dyDescent="0.2">
      <c r="A101" s="35" t="str">
        <f>A76</f>
        <v>01.02.01.</v>
      </c>
      <c r="B101" s="36"/>
      <c r="C101" s="36" t="s">
        <v>91</v>
      </c>
      <c r="D101" s="93"/>
      <c r="E101" s="94"/>
      <c r="F101" s="37"/>
      <c r="G101" s="119">
        <f>G76</f>
        <v>428773.5</v>
      </c>
      <c r="H101" s="37"/>
      <c r="I101" s="61">
        <f>I76</f>
        <v>423458.55000000005</v>
      </c>
      <c r="J101" s="38"/>
      <c r="K101" s="61">
        <f>K76</f>
        <v>441804.64999999997</v>
      </c>
      <c r="L101" s="37"/>
      <c r="M101" s="61">
        <f>M76</f>
        <v>459704.25</v>
      </c>
      <c r="N101" s="37"/>
      <c r="O101" s="61">
        <f>O76</f>
        <v>483530</v>
      </c>
      <c r="P101" s="37"/>
      <c r="Q101" s="61">
        <f>Q76</f>
        <v>467152.5</v>
      </c>
      <c r="R101" s="37"/>
      <c r="S101" s="61">
        <f>S76</f>
        <v>473000.20000000007</v>
      </c>
      <c r="T101" s="37"/>
      <c r="U101" s="61">
        <f>U76</f>
        <v>515775</v>
      </c>
      <c r="V101" s="37"/>
      <c r="W101" s="61">
        <f>W76</f>
        <v>0</v>
      </c>
      <c r="XFA101"/>
      <c r="XFB101"/>
    </row>
    <row r="102" spans="1:23 16381:16382" ht="15" x14ac:dyDescent="0.2">
      <c r="A102" s="35" t="str">
        <f>A82</f>
        <v>01.02.02.</v>
      </c>
      <c r="B102" s="36"/>
      <c r="C102" s="36" t="s">
        <v>112</v>
      </c>
      <c r="D102" s="93"/>
      <c r="E102" s="94"/>
      <c r="F102" s="37"/>
      <c r="G102" s="61">
        <f>G82</f>
        <v>52018.6</v>
      </c>
      <c r="H102" s="37"/>
      <c r="I102" s="61">
        <f>I82</f>
        <v>56174.86</v>
      </c>
      <c r="J102" s="38"/>
      <c r="K102" s="61">
        <f>K82</f>
        <v>56819.8</v>
      </c>
      <c r="L102" s="37"/>
      <c r="M102" s="61">
        <f>M82</f>
        <v>48677.849999999991</v>
      </c>
      <c r="N102" s="37"/>
      <c r="O102" s="119">
        <f>O82</f>
        <v>31532.3</v>
      </c>
      <c r="P102" s="37"/>
      <c r="Q102" s="61">
        <f>Q82</f>
        <v>47619.399999999994</v>
      </c>
      <c r="R102" s="37"/>
      <c r="S102" s="61">
        <f>S82</f>
        <v>47625.259999999995</v>
      </c>
      <c r="T102" s="37"/>
      <c r="U102" s="61">
        <f>U82</f>
        <v>67149</v>
      </c>
      <c r="V102" s="37"/>
      <c r="W102" s="61">
        <f>W82</f>
        <v>0</v>
      </c>
      <c r="XFA102"/>
      <c r="XFB102"/>
    </row>
    <row r="103" spans="1:23 16381:16382" ht="15" x14ac:dyDescent="0.2">
      <c r="A103" s="35" t="str">
        <f>A90</f>
        <v>01.02.03.</v>
      </c>
      <c r="B103" s="36"/>
      <c r="C103" s="36" t="s">
        <v>122</v>
      </c>
      <c r="D103" s="93"/>
      <c r="E103" s="94"/>
      <c r="F103" s="37"/>
      <c r="G103" s="61">
        <f>G90</f>
        <v>0</v>
      </c>
      <c r="H103" s="37"/>
      <c r="I103" s="61">
        <f>I90</f>
        <v>0</v>
      </c>
      <c r="J103" s="38"/>
      <c r="K103" s="61">
        <f>K90</f>
        <v>0</v>
      </c>
      <c r="L103" s="37"/>
      <c r="M103" s="61">
        <f>M90</f>
        <v>0</v>
      </c>
      <c r="N103" s="37"/>
      <c r="O103" s="61">
        <f>O90</f>
        <v>0</v>
      </c>
      <c r="P103" s="37"/>
      <c r="Q103" s="61">
        <f>Q90</f>
        <v>0</v>
      </c>
      <c r="R103" s="37"/>
      <c r="S103" s="61">
        <f>S90</f>
        <v>0</v>
      </c>
      <c r="T103" s="37"/>
      <c r="U103" s="61">
        <f>U90</f>
        <v>0</v>
      </c>
      <c r="V103" s="37"/>
      <c r="W103" s="61">
        <f>W90</f>
        <v>0</v>
      </c>
      <c r="XFA103"/>
      <c r="XFB103"/>
    </row>
    <row r="104" spans="1:23 16381:16382" ht="15" x14ac:dyDescent="0.2">
      <c r="A104" s="35" t="str">
        <f>A95</f>
        <v>01.03.01.</v>
      </c>
      <c r="B104" s="36"/>
      <c r="C104" s="36" t="s">
        <v>131</v>
      </c>
      <c r="D104" s="93"/>
      <c r="E104" s="94"/>
      <c r="F104" s="37"/>
      <c r="G104" s="61">
        <f>G95</f>
        <v>0</v>
      </c>
      <c r="H104" s="37"/>
      <c r="I104" s="61">
        <f>I95</f>
        <v>0</v>
      </c>
      <c r="J104" s="38"/>
      <c r="K104" s="61">
        <f>K95</f>
        <v>0</v>
      </c>
      <c r="L104" s="37"/>
      <c r="M104" s="61">
        <f>M95</f>
        <v>0</v>
      </c>
      <c r="N104" s="37"/>
      <c r="O104" s="61">
        <f>O95</f>
        <v>0</v>
      </c>
      <c r="P104" s="37"/>
      <c r="Q104" s="61">
        <f>Q95</f>
        <v>0</v>
      </c>
      <c r="R104" s="37"/>
      <c r="S104" s="61">
        <f>S95</f>
        <v>0</v>
      </c>
      <c r="T104" s="37"/>
      <c r="U104" s="61">
        <f>U95</f>
        <v>0</v>
      </c>
      <c r="V104" s="37"/>
      <c r="W104" s="61">
        <f>W95</f>
        <v>0</v>
      </c>
      <c r="XFA104"/>
      <c r="XFB104"/>
    </row>
    <row r="105" spans="1:23 16381:16382" ht="16" thickBot="1" x14ac:dyDescent="0.25">
      <c r="A105" s="35"/>
      <c r="B105" s="36"/>
      <c r="C105" s="36"/>
      <c r="D105" s="93"/>
      <c r="E105" s="94"/>
      <c r="F105" s="37"/>
      <c r="G105" s="61"/>
      <c r="H105" s="37"/>
      <c r="I105" s="61"/>
      <c r="J105" s="38"/>
      <c r="K105" s="61"/>
      <c r="L105" s="37"/>
      <c r="M105" s="61"/>
      <c r="N105" s="37"/>
      <c r="O105" s="61"/>
      <c r="P105" s="37"/>
      <c r="Q105" s="61"/>
      <c r="R105" s="37"/>
      <c r="S105" s="61"/>
      <c r="T105" s="37"/>
      <c r="U105" s="61"/>
      <c r="V105" s="37"/>
      <c r="W105" s="61"/>
      <c r="XFA105"/>
      <c r="XFB105"/>
    </row>
    <row r="106" spans="1:23 16381:16382" ht="15" x14ac:dyDescent="0.2">
      <c r="A106" s="39">
        <v>460</v>
      </c>
      <c r="B106" s="40"/>
      <c r="C106" s="40" t="s">
        <v>140</v>
      </c>
      <c r="D106" s="95"/>
      <c r="E106" s="96"/>
      <c r="F106" s="41"/>
      <c r="G106" s="62">
        <f>SUM(G27,G39,G50,G76,G82,G90,G95)</f>
        <v>853123.9</v>
      </c>
      <c r="H106" s="41"/>
      <c r="I106" s="62">
        <f>SUM(I27,I39,I50,I76,I82,I90,I95)</f>
        <v>867564.83000000007</v>
      </c>
      <c r="J106" s="41"/>
      <c r="K106" s="62">
        <f>SUM(K27,K39,K50,K76,K82,K90,K95)</f>
        <v>886842.08000000007</v>
      </c>
      <c r="L106" s="41"/>
      <c r="M106" s="62">
        <f>SUM(M27,M39,M50,M76,M82,M90,M95)</f>
        <v>913920.2</v>
      </c>
      <c r="N106" s="41"/>
      <c r="O106" s="62">
        <f>SUM(O27,O39,O50,O76,O82,O90,O95)</f>
        <v>917086.60000000009</v>
      </c>
      <c r="P106" s="41"/>
      <c r="Q106" s="62">
        <f>SUM(Q27,Q39,Q50,Q76,Q82,Q90,Q95)</f>
        <v>920039.20000000007</v>
      </c>
      <c r="R106" s="41"/>
      <c r="S106" s="62">
        <f>SUM(S27,S39,S50,S76,S82,S90,S95)</f>
        <v>925238.02</v>
      </c>
      <c r="T106" s="41"/>
      <c r="U106" s="62">
        <f>SUM(U27,U39,U50,U76,U82,U90,U95)</f>
        <v>1025113</v>
      </c>
      <c r="V106" s="41"/>
      <c r="W106" s="62">
        <f>SUM(W27,W39,W50,W76,W82,W90,W95)</f>
        <v>0</v>
      </c>
      <c r="XFA106"/>
      <c r="XFB106"/>
    </row>
    <row r="107" spans="1:23 16381:16382" ht="15" x14ac:dyDescent="0.2">
      <c r="A107" s="42">
        <v>460</v>
      </c>
      <c r="B107" s="43"/>
      <c r="C107" s="43" t="s">
        <v>141</v>
      </c>
      <c r="D107" s="97"/>
      <c r="E107" s="98"/>
      <c r="F107" s="77">
        <v>0</v>
      </c>
      <c r="G107" s="63">
        <f>-F107*G106</f>
        <v>0</v>
      </c>
      <c r="H107" s="44">
        <v>0</v>
      </c>
      <c r="I107" s="63">
        <f>-H107*I106</f>
        <v>0</v>
      </c>
      <c r="J107" s="44">
        <v>0</v>
      </c>
      <c r="K107" s="63">
        <f>-J107*K106</f>
        <v>0</v>
      </c>
      <c r="L107" s="44">
        <v>0</v>
      </c>
      <c r="M107" s="63">
        <f>-L107*M106</f>
        <v>0</v>
      </c>
      <c r="N107" s="44">
        <v>0</v>
      </c>
      <c r="O107" s="63">
        <f>-N107*O106</f>
        <v>0</v>
      </c>
      <c r="P107" s="44">
        <v>0</v>
      </c>
      <c r="Q107" s="63">
        <f>-P107*Q106</f>
        <v>0</v>
      </c>
      <c r="R107" s="44">
        <v>0</v>
      </c>
      <c r="S107" s="63">
        <f>-R107*S106</f>
        <v>0</v>
      </c>
      <c r="T107" s="44">
        <v>0</v>
      </c>
      <c r="U107" s="63">
        <f>-T107*U106</f>
        <v>0</v>
      </c>
      <c r="V107" s="44">
        <v>0</v>
      </c>
      <c r="W107" s="63">
        <f>-V107*W106</f>
        <v>0</v>
      </c>
      <c r="XFA107"/>
      <c r="XFB107"/>
    </row>
    <row r="108" spans="1:23 16381:16382" ht="16" thickBot="1" x14ac:dyDescent="0.25">
      <c r="A108" s="45">
        <v>460</v>
      </c>
      <c r="B108" s="46"/>
      <c r="C108" s="46" t="s">
        <v>142</v>
      </c>
      <c r="D108" s="99"/>
      <c r="E108" s="100"/>
      <c r="F108" s="47"/>
      <c r="G108" s="64">
        <f>G106-G107</f>
        <v>853123.9</v>
      </c>
      <c r="H108" s="47"/>
      <c r="I108" s="64">
        <f>I106-I107</f>
        <v>867564.83000000007</v>
      </c>
      <c r="J108" s="47"/>
      <c r="K108" s="64">
        <f>K106-K107</f>
        <v>886842.08000000007</v>
      </c>
      <c r="L108" s="47"/>
      <c r="M108" s="64">
        <f>M106-M107</f>
        <v>913920.2</v>
      </c>
      <c r="N108" s="47"/>
      <c r="O108" s="64">
        <f>O106-O107</f>
        <v>917086.60000000009</v>
      </c>
      <c r="P108" s="47"/>
      <c r="Q108" s="64">
        <f>Q106-Q107</f>
        <v>920039.20000000007</v>
      </c>
      <c r="R108" s="47"/>
      <c r="S108" s="64">
        <f>S106-S107</f>
        <v>925238.02</v>
      </c>
      <c r="T108" s="47"/>
      <c r="U108" s="64">
        <f>U106-U107</f>
        <v>1025113</v>
      </c>
      <c r="V108" s="48"/>
      <c r="W108" s="64">
        <f>W106-W107</f>
        <v>0</v>
      </c>
      <c r="XFA108"/>
      <c r="XFB108"/>
    </row>
    <row r="109" spans="1:23 16381:16382" ht="15" x14ac:dyDescent="0.2">
      <c r="A109" s="49"/>
      <c r="B109" s="50"/>
      <c r="C109" s="51" t="s">
        <v>160</v>
      </c>
      <c r="D109" s="101"/>
      <c r="E109" s="101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FA109"/>
      <c r="XFB109"/>
    </row>
    <row r="110" spans="1:23 16381:16382" ht="15" x14ac:dyDescent="0.2">
      <c r="A110" s="49"/>
      <c r="B110" s="50"/>
      <c r="C110" s="52" t="s">
        <v>169</v>
      </c>
      <c r="D110" s="101"/>
      <c r="E110" s="101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FA110"/>
      <c r="XFB110"/>
    </row>
    <row r="111" spans="1:23 16381:16382" ht="16" thickBot="1" x14ac:dyDescent="0.25">
      <c r="A111" s="53"/>
      <c r="B111" s="54"/>
      <c r="C111" s="54"/>
      <c r="D111" s="102"/>
      <c r="E111" s="102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FA111"/>
      <c r="XFB111"/>
    </row>
    <row r="112" spans="1:23 16381:16382" ht="15" x14ac:dyDescent="0.2">
      <c r="XFA112"/>
      <c r="XFB112"/>
    </row>
    <row r="113" spans="16381:16382" ht="15" x14ac:dyDescent="0.2">
      <c r="XFA113"/>
      <c r="XFB113"/>
    </row>
    <row r="114" spans="16381:16382" ht="15" x14ac:dyDescent="0.2">
      <c r="XFA114"/>
      <c r="XFB114"/>
    </row>
    <row r="115" spans="16381:16382" ht="15" x14ac:dyDescent="0.2">
      <c r="XFA115"/>
      <c r="XFB115"/>
    </row>
    <row r="116" spans="16381:16382" ht="15" x14ac:dyDescent="0.2">
      <c r="XFA116"/>
      <c r="XFB116"/>
    </row>
    <row r="117" spans="16381:16382" ht="15" x14ac:dyDescent="0.2">
      <c r="XFA117"/>
      <c r="XFB117"/>
    </row>
    <row r="118" spans="16381:16382" ht="15" x14ac:dyDescent="0.2">
      <c r="XFA118"/>
      <c r="XFB118"/>
    </row>
    <row r="119" spans="16381:16382" ht="15" x14ac:dyDescent="0.2">
      <c r="XFA119"/>
      <c r="XFB119"/>
    </row>
    <row r="120" spans="16381:16382" ht="15" x14ac:dyDescent="0.2">
      <c r="XFA120"/>
      <c r="XFB120"/>
    </row>
    <row r="121" spans="16381:16382" ht="15" x14ac:dyDescent="0.2">
      <c r="XFA121"/>
      <c r="XFB121"/>
    </row>
    <row r="122" spans="16381:16382" ht="15" x14ac:dyDescent="0.2">
      <c r="XFA122"/>
      <c r="XFB122"/>
    </row>
    <row r="123" spans="16381:16382" ht="15" x14ac:dyDescent="0.2">
      <c r="XFA123"/>
      <c r="XFB123"/>
    </row>
    <row r="124" spans="16381:16382" ht="15" x14ac:dyDescent="0.2">
      <c r="XFA124"/>
      <c r="XFB124"/>
    </row>
    <row r="125" spans="16381:16382" ht="15" x14ac:dyDescent="0.2">
      <c r="XFA125"/>
      <c r="XFB125"/>
    </row>
    <row r="126" spans="16381:16382" ht="15" x14ac:dyDescent="0.2">
      <c r="XFA126"/>
      <c r="XFB126"/>
    </row>
    <row r="127" spans="16381:16382" ht="15" x14ac:dyDescent="0.2">
      <c r="XFA127"/>
      <c r="XFB127"/>
    </row>
    <row r="128" spans="16381:16382" ht="15" x14ac:dyDescent="0.2">
      <c r="XFA128"/>
      <c r="XFB128"/>
    </row>
    <row r="129" spans="16381:16382" ht="15" x14ac:dyDescent="0.2">
      <c r="XFA129"/>
      <c r="XFB129"/>
    </row>
    <row r="130" spans="16381:16382" ht="15" x14ac:dyDescent="0.2">
      <c r="XFA130"/>
      <c r="XFB130"/>
    </row>
    <row r="131" spans="16381:16382" ht="15" x14ac:dyDescent="0.2">
      <c r="XFA131"/>
      <c r="XFB131"/>
    </row>
    <row r="132" spans="16381:16382" ht="15" x14ac:dyDescent="0.2">
      <c r="XFA132"/>
      <c r="XFB132"/>
    </row>
    <row r="133" spans="16381:16382" ht="15" x14ac:dyDescent="0.2">
      <c r="XFA133"/>
      <c r="XFB133"/>
    </row>
    <row r="134" spans="16381:16382" ht="15" x14ac:dyDescent="0.2">
      <c r="XFA134"/>
      <c r="XFB134"/>
    </row>
    <row r="135" spans="16381:16382" ht="15" x14ac:dyDescent="0.2">
      <c r="XFA135"/>
      <c r="XFB135"/>
    </row>
    <row r="136" spans="16381:16382" ht="15" x14ac:dyDescent="0.2">
      <c r="XFA136"/>
      <c r="XFB136"/>
    </row>
    <row r="137" spans="16381:16382" ht="15" x14ac:dyDescent="0.2">
      <c r="XFA137"/>
      <c r="XFB137"/>
    </row>
    <row r="138" spans="16381:16382" ht="15" x14ac:dyDescent="0.2">
      <c r="XFA138"/>
      <c r="XFB138"/>
    </row>
    <row r="139" spans="16381:16382" ht="15" x14ac:dyDescent="0.2">
      <c r="XFA139"/>
      <c r="XFB139"/>
    </row>
    <row r="140" spans="16381:16382" ht="15" x14ac:dyDescent="0.2">
      <c r="XFA140"/>
      <c r="XFB140"/>
    </row>
    <row r="141" spans="16381:16382" ht="15" x14ac:dyDescent="0.2">
      <c r="XFA141"/>
      <c r="XFB141"/>
    </row>
    <row r="142" spans="16381:16382" ht="15" x14ac:dyDescent="0.2">
      <c r="XFA142"/>
      <c r="XFB142"/>
    </row>
    <row r="143" spans="16381:16382" ht="15" x14ac:dyDescent="0.2">
      <c r="XFA143"/>
      <c r="XFB143"/>
    </row>
    <row r="144" spans="16381:16382" ht="15" x14ac:dyDescent="0.2">
      <c r="XFA144"/>
      <c r="XFB144"/>
    </row>
    <row r="145" spans="16381:16382" ht="15" x14ac:dyDescent="0.2">
      <c r="XFA145"/>
      <c r="XFB145"/>
    </row>
    <row r="146" spans="16381:16382" ht="15" x14ac:dyDescent="0.2">
      <c r="XFA146"/>
      <c r="XFB146"/>
    </row>
    <row r="147" spans="16381:16382" ht="15" x14ac:dyDescent="0.2">
      <c r="XFA147"/>
      <c r="XFB147"/>
    </row>
    <row r="148" spans="16381:16382" ht="15" x14ac:dyDescent="0.2">
      <c r="XFA148"/>
      <c r="XFB148"/>
    </row>
    <row r="149" spans="16381:16382" ht="15" x14ac:dyDescent="0.2">
      <c r="XFA149"/>
      <c r="XFB149"/>
    </row>
    <row r="150" spans="16381:16382" ht="15" x14ac:dyDescent="0.2">
      <c r="XFA150"/>
      <c r="XFB150"/>
    </row>
    <row r="151" spans="16381:16382" ht="15" x14ac:dyDescent="0.2">
      <c r="XFA151"/>
      <c r="XFB151"/>
    </row>
    <row r="152" spans="16381:16382" ht="15" x14ac:dyDescent="0.2">
      <c r="XFA152"/>
      <c r="XFB152"/>
    </row>
    <row r="153" spans="16381:16382" ht="15" x14ac:dyDescent="0.2">
      <c r="XFA153"/>
      <c r="XFB153"/>
    </row>
    <row r="154" spans="16381:16382" ht="15" x14ac:dyDescent="0.2">
      <c r="XFA154"/>
      <c r="XFB154"/>
    </row>
    <row r="155" spans="16381:16382" ht="15" x14ac:dyDescent="0.2">
      <c r="XFA155"/>
      <c r="XFB155"/>
    </row>
    <row r="156" spans="16381:16382" ht="15" x14ac:dyDescent="0.2">
      <c r="XFA156"/>
      <c r="XFB156"/>
    </row>
    <row r="157" spans="16381:16382" ht="15" x14ac:dyDescent="0.2">
      <c r="XFA157"/>
      <c r="XFB157"/>
    </row>
    <row r="158" spans="16381:16382" ht="15" x14ac:dyDescent="0.2">
      <c r="XFA158"/>
      <c r="XFB158"/>
    </row>
    <row r="159" spans="16381:16382" ht="15" x14ac:dyDescent="0.2">
      <c r="XFA159"/>
      <c r="XFB159"/>
    </row>
    <row r="160" spans="16381:16382" ht="15" x14ac:dyDescent="0.2">
      <c r="XFA160"/>
      <c r="XFB160"/>
    </row>
    <row r="161" spans="16381:16382" ht="15" x14ac:dyDescent="0.2">
      <c r="XFA161"/>
      <c r="XFB161"/>
    </row>
    <row r="162" spans="16381:16382" ht="15" x14ac:dyDescent="0.2">
      <c r="XFA162"/>
      <c r="XFB162"/>
    </row>
    <row r="163" spans="16381:16382" ht="15" x14ac:dyDescent="0.2">
      <c r="XFA163"/>
      <c r="XFB163"/>
    </row>
    <row r="164" spans="16381:16382" ht="15" x14ac:dyDescent="0.2">
      <c r="XFA164"/>
      <c r="XFB164"/>
    </row>
    <row r="165" spans="16381:16382" ht="15" x14ac:dyDescent="0.2">
      <c r="XFA165"/>
      <c r="XFB165"/>
    </row>
    <row r="166" spans="16381:16382" ht="15" x14ac:dyDescent="0.2">
      <c r="XFA166"/>
      <c r="XFB166"/>
    </row>
    <row r="167" spans="16381:16382" ht="15" x14ac:dyDescent="0.2">
      <c r="XFA167"/>
      <c r="XFB167"/>
    </row>
    <row r="168" spans="16381:16382" ht="15" x14ac:dyDescent="0.2">
      <c r="XFA168"/>
      <c r="XFB168"/>
    </row>
    <row r="169" spans="16381:16382" ht="15" x14ac:dyDescent="0.2">
      <c r="XFA169"/>
      <c r="XFB169"/>
    </row>
    <row r="170" spans="16381:16382" ht="15" x14ac:dyDescent="0.2">
      <c r="XFA170"/>
      <c r="XFB170"/>
    </row>
    <row r="171" spans="16381:16382" ht="15" x14ac:dyDescent="0.2">
      <c r="XFA171"/>
      <c r="XFB171"/>
    </row>
    <row r="172" spans="16381:16382" ht="15" x14ac:dyDescent="0.2">
      <c r="XFA172"/>
      <c r="XFB172"/>
    </row>
    <row r="173" spans="16381:16382" ht="15" x14ac:dyDescent="0.2">
      <c r="XFA173"/>
      <c r="XFB173"/>
    </row>
    <row r="174" spans="16381:16382" ht="15" x14ac:dyDescent="0.2">
      <c r="XFA174"/>
      <c r="XFB174"/>
    </row>
    <row r="175" spans="16381:16382" ht="15" x14ac:dyDescent="0.2">
      <c r="XFA175"/>
      <c r="XFB175"/>
    </row>
    <row r="176" spans="16381:16382" ht="15" x14ac:dyDescent="0.2">
      <c r="XFA176"/>
      <c r="XFB176"/>
    </row>
    <row r="177" spans="16381:16382" ht="15" x14ac:dyDescent="0.2">
      <c r="XFA177"/>
      <c r="XFB177"/>
    </row>
    <row r="178" spans="16381:16382" ht="15" x14ac:dyDescent="0.2">
      <c r="XFA178"/>
      <c r="XFB178"/>
    </row>
    <row r="179" spans="16381:16382" ht="15" x14ac:dyDescent="0.2">
      <c r="XFA179"/>
      <c r="XFB179"/>
    </row>
    <row r="180" spans="16381:16382" ht="15" x14ac:dyDescent="0.2">
      <c r="XFA180"/>
      <c r="XFB180"/>
    </row>
    <row r="181" spans="16381:16382" ht="15" x14ac:dyDescent="0.2">
      <c r="XFA181"/>
      <c r="XFB181"/>
    </row>
    <row r="182" spans="16381:16382" ht="15" x14ac:dyDescent="0.2">
      <c r="XFA182"/>
      <c r="XFB182"/>
    </row>
    <row r="183" spans="16381:16382" ht="15" x14ac:dyDescent="0.2">
      <c r="XFA183"/>
      <c r="XFB183"/>
    </row>
    <row r="184" spans="16381:16382" ht="15" x14ac:dyDescent="0.2">
      <c r="XFA184"/>
      <c r="XFB184"/>
    </row>
    <row r="185" spans="16381:16382" ht="15" x14ac:dyDescent="0.2">
      <c r="XFA185"/>
      <c r="XFB185"/>
    </row>
    <row r="186" spans="16381:16382" ht="15" x14ac:dyDescent="0.2">
      <c r="XFA186"/>
      <c r="XFB186"/>
    </row>
    <row r="187" spans="16381:16382" ht="15" x14ac:dyDescent="0.2">
      <c r="XFA187"/>
      <c r="XFB187"/>
    </row>
    <row r="188" spans="16381:16382" ht="15" x14ac:dyDescent="0.2">
      <c r="XFA188"/>
      <c r="XFB188"/>
    </row>
    <row r="189" spans="16381:16382" ht="15" x14ac:dyDescent="0.2">
      <c r="XFA189"/>
      <c r="XFB189"/>
    </row>
    <row r="190" spans="16381:16382" ht="15" x14ac:dyDescent="0.2">
      <c r="XFA190"/>
      <c r="XFB190"/>
    </row>
    <row r="191" spans="16381:16382" ht="15" x14ac:dyDescent="0.2">
      <c r="XFA191"/>
      <c r="XFB191"/>
    </row>
    <row r="192" spans="16381:16382" ht="15" x14ac:dyDescent="0.2">
      <c r="XFA192"/>
      <c r="XFB192"/>
    </row>
    <row r="193" spans="16381:16382" ht="15" x14ac:dyDescent="0.2">
      <c r="XFA193"/>
      <c r="XFB193"/>
    </row>
    <row r="194" spans="16381:16382" ht="15" x14ac:dyDescent="0.2">
      <c r="XFA194"/>
      <c r="XFB194"/>
    </row>
    <row r="195" spans="16381:16382" ht="15" x14ac:dyDescent="0.2">
      <c r="XFA195"/>
      <c r="XFB195"/>
    </row>
    <row r="196" spans="16381:16382" ht="15" x14ac:dyDescent="0.2">
      <c r="XFA196"/>
      <c r="XFB196"/>
    </row>
    <row r="197" spans="16381:16382" ht="15" x14ac:dyDescent="0.2">
      <c r="XFA197"/>
      <c r="XFB197"/>
    </row>
    <row r="198" spans="16381:16382" ht="15" x14ac:dyDescent="0.2">
      <c r="XFA198"/>
      <c r="XFB198"/>
    </row>
    <row r="199" spans="16381:16382" ht="15" x14ac:dyDescent="0.2">
      <c r="XFA199"/>
      <c r="XFB199"/>
    </row>
    <row r="200" spans="16381:16382" ht="15" x14ac:dyDescent="0.2">
      <c r="XFA200"/>
      <c r="XFB200"/>
    </row>
    <row r="201" spans="16381:16382" ht="15" x14ac:dyDescent="0.2">
      <c r="XFA201"/>
      <c r="XFB201"/>
    </row>
    <row r="202" spans="16381:16382" ht="15" x14ac:dyDescent="0.2">
      <c r="XFA202"/>
      <c r="XFB202"/>
    </row>
    <row r="203" spans="16381:16382" ht="15" x14ac:dyDescent="0.2">
      <c r="XFA203"/>
      <c r="XFB203"/>
    </row>
    <row r="204" spans="16381:16382" ht="15" x14ac:dyDescent="0.2">
      <c r="XFA204"/>
      <c r="XFB204"/>
    </row>
    <row r="205" spans="16381:16382" ht="15" x14ac:dyDescent="0.2">
      <c r="XFA205"/>
      <c r="XFB205"/>
    </row>
    <row r="206" spans="16381:16382" ht="15" x14ac:dyDescent="0.2">
      <c r="XFA206"/>
      <c r="XFB206"/>
    </row>
    <row r="207" spans="16381:16382" ht="15" x14ac:dyDescent="0.2">
      <c r="XFA207"/>
      <c r="XFB207"/>
    </row>
    <row r="208" spans="16381:16382" ht="15" x14ac:dyDescent="0.2">
      <c r="XFA208"/>
      <c r="XFB208"/>
    </row>
    <row r="209" spans="16381:16382" ht="15" x14ac:dyDescent="0.2">
      <c r="XFA209"/>
      <c r="XFB209"/>
    </row>
    <row r="210" spans="16381:16382" ht="15" x14ac:dyDescent="0.2">
      <c r="XFA210"/>
      <c r="XFB210"/>
    </row>
    <row r="211" spans="16381:16382" ht="15" x14ac:dyDescent="0.2">
      <c r="XFA211"/>
      <c r="XFB211"/>
    </row>
    <row r="212" spans="16381:16382" ht="15" x14ac:dyDescent="0.2">
      <c r="XFA212"/>
      <c r="XFB212"/>
    </row>
    <row r="213" spans="16381:16382" ht="15" x14ac:dyDescent="0.2">
      <c r="XFA213"/>
      <c r="XFB213"/>
    </row>
    <row r="214" spans="16381:16382" ht="15" x14ac:dyDescent="0.2">
      <c r="XFA214"/>
      <c r="XFB214"/>
    </row>
    <row r="215" spans="16381:16382" ht="15" x14ac:dyDescent="0.2">
      <c r="XFA215"/>
      <c r="XFB215"/>
    </row>
    <row r="216" spans="16381:16382" ht="15" x14ac:dyDescent="0.2">
      <c r="XFA216"/>
      <c r="XFB216"/>
    </row>
    <row r="217" spans="16381:16382" ht="15" x14ac:dyDescent="0.2">
      <c r="XFA217"/>
      <c r="XFB217"/>
    </row>
    <row r="218" spans="16381:16382" ht="15" x14ac:dyDescent="0.2">
      <c r="XFA218"/>
      <c r="XFB218"/>
    </row>
    <row r="219" spans="16381:16382" ht="15" x14ac:dyDescent="0.2">
      <c r="XFA219"/>
      <c r="XFB219"/>
    </row>
    <row r="220" spans="16381:16382" ht="15" x14ac:dyDescent="0.2">
      <c r="XFA220"/>
      <c r="XFB220"/>
    </row>
    <row r="221" spans="16381:16382" ht="15" x14ac:dyDescent="0.2">
      <c r="XFA221"/>
      <c r="XFB221"/>
    </row>
    <row r="222" spans="16381:16382" ht="15" x14ac:dyDescent="0.2">
      <c r="XFA222"/>
      <c r="XFB222"/>
    </row>
    <row r="223" spans="16381:16382" ht="15" x14ac:dyDescent="0.2">
      <c r="XFA223"/>
      <c r="XFB223"/>
    </row>
    <row r="224" spans="16381:16382" ht="15" x14ac:dyDescent="0.2">
      <c r="XFA224"/>
      <c r="XFB224"/>
    </row>
    <row r="225" spans="16381:16382" ht="15" x14ac:dyDescent="0.2">
      <c r="XFA225"/>
      <c r="XFB225"/>
    </row>
    <row r="226" spans="16381:16382" ht="15" x14ac:dyDescent="0.2">
      <c r="XFA226"/>
      <c r="XFB226"/>
    </row>
    <row r="227" spans="16381:16382" ht="15" x14ac:dyDescent="0.2">
      <c r="XFA227"/>
      <c r="XFB227"/>
    </row>
    <row r="228" spans="16381:16382" ht="15" x14ac:dyDescent="0.2">
      <c r="XFA228"/>
      <c r="XFB228"/>
    </row>
    <row r="229" spans="16381:16382" ht="15" x14ac:dyDescent="0.2">
      <c r="XFA229"/>
      <c r="XFB229"/>
    </row>
    <row r="230" spans="16381:16382" ht="15" x14ac:dyDescent="0.2">
      <c r="XFA230"/>
      <c r="XFB230"/>
    </row>
    <row r="231" spans="16381:16382" ht="15" x14ac:dyDescent="0.2">
      <c r="XFA231"/>
      <c r="XFB231"/>
    </row>
    <row r="232" spans="16381:16382" ht="15" x14ac:dyDescent="0.2">
      <c r="XFA232"/>
      <c r="XFB232"/>
    </row>
    <row r="233" spans="16381:16382" ht="15" x14ac:dyDescent="0.2">
      <c r="XFA233"/>
      <c r="XFB233"/>
    </row>
  </sheetData>
  <printOptions gridLines="1"/>
  <pageMargins left="0.70866141732283472" right="0.70866141732283472" top="0.2" bottom="0.27" header="0.17" footer="0.15748031496062992"/>
  <pageSetup paperSize="8" scale="50" fitToWidth="2" orientation="landscape" r:id="rId1"/>
  <headerFooter>
    <oddFooter xml:space="preserve">&amp;L&amp;Z&amp;F, Ausdruck vom &amp;D&amp;RSeite  &amp;P von &amp;NSeiten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ET262"/>
  <sheetViews>
    <sheetView tabSelected="1" zoomScale="85" zoomScaleNormal="85" workbookViewId="0">
      <pane xSplit="5" ySplit="8" topLeftCell="F30" activePane="bottomRight" state="frozen"/>
      <selection pane="topRight" activeCell="F1" sqref="F1"/>
      <selection pane="bottomLeft" activeCell="A9" sqref="A9"/>
      <selection pane="bottomRight" activeCell="I143" sqref="I143"/>
    </sheetView>
  </sheetViews>
  <sheetFormatPr baseColWidth="10" defaultColWidth="11.5" defaultRowHeight="14" x14ac:dyDescent="0.15"/>
  <cols>
    <col min="1" max="1" width="14.83203125" style="22" customWidth="1"/>
    <col min="2" max="2" width="10.5" style="22" hidden="1" customWidth="1"/>
    <col min="3" max="3" width="68.6640625" style="22" bestFit="1" customWidth="1"/>
    <col min="4" max="4" width="10.5" style="103" bestFit="1" customWidth="1"/>
    <col min="5" max="5" width="8.33203125" style="103" customWidth="1"/>
    <col min="6" max="6" width="14.6640625" style="56" customWidth="1"/>
    <col min="7" max="7" width="15.6640625" style="56" customWidth="1"/>
    <col min="8" max="8" width="14.5" style="56" customWidth="1"/>
    <col min="9" max="9" width="17.5" style="56" customWidth="1"/>
    <col min="10" max="10" width="14.6640625" style="56" customWidth="1"/>
    <col min="11" max="11" width="15.1640625" style="56" customWidth="1"/>
    <col min="12" max="12" width="14.5" style="56" hidden="1" customWidth="1"/>
    <col min="13" max="13" width="14.83203125" style="56" hidden="1" customWidth="1"/>
    <col min="14" max="14" width="14.5" style="56" customWidth="1"/>
    <col min="15" max="15" width="16.33203125" style="56" bestFit="1" customWidth="1"/>
    <col min="16" max="16384" width="11.5" style="22"/>
  </cols>
  <sheetData>
    <row r="1" spans="1:15" x14ac:dyDescent="0.15">
      <c r="A1" s="1" t="s">
        <v>0</v>
      </c>
      <c r="B1" s="2"/>
      <c r="C1" s="17" t="s">
        <v>17</v>
      </c>
      <c r="D1" s="79"/>
      <c r="E1" s="79"/>
      <c r="F1" s="71" t="s">
        <v>1</v>
      </c>
      <c r="G1" s="72" t="s">
        <v>158</v>
      </c>
      <c r="H1" s="3" t="s">
        <v>1</v>
      </c>
      <c r="I1" s="4" t="s">
        <v>144</v>
      </c>
      <c r="J1" s="3" t="s">
        <v>1</v>
      </c>
      <c r="K1" s="4" t="s">
        <v>146</v>
      </c>
      <c r="L1" s="3" t="s">
        <v>1</v>
      </c>
      <c r="M1" s="4" t="s">
        <v>154</v>
      </c>
      <c r="N1" s="3" t="s">
        <v>1</v>
      </c>
      <c r="O1" s="133" t="s">
        <v>148</v>
      </c>
    </row>
    <row r="2" spans="1:15" x14ac:dyDescent="0.15">
      <c r="A2" s="5"/>
      <c r="B2" s="6"/>
      <c r="C2" s="6"/>
      <c r="D2" s="80"/>
      <c r="E2" s="80"/>
      <c r="F2" s="7" t="s">
        <v>2</v>
      </c>
      <c r="G2" s="8" t="s">
        <v>159</v>
      </c>
      <c r="H2" s="7" t="s">
        <v>2</v>
      </c>
      <c r="I2" s="8" t="s">
        <v>145</v>
      </c>
      <c r="J2" s="7" t="s">
        <v>2</v>
      </c>
      <c r="K2" s="8" t="s">
        <v>147</v>
      </c>
      <c r="L2" s="7" t="s">
        <v>2</v>
      </c>
      <c r="M2" s="8" t="s">
        <v>155</v>
      </c>
      <c r="N2" s="7" t="s">
        <v>2</v>
      </c>
      <c r="O2" s="8" t="s">
        <v>149</v>
      </c>
    </row>
    <row r="3" spans="1:15" ht="15" thickBot="1" x14ac:dyDescent="0.2">
      <c r="A3" s="5" t="s">
        <v>3</v>
      </c>
      <c r="B3" s="6"/>
      <c r="C3" s="14" t="s">
        <v>18</v>
      </c>
      <c r="D3" s="80"/>
      <c r="E3" s="80"/>
      <c r="F3" s="9" t="s">
        <v>4</v>
      </c>
      <c r="G3" s="21">
        <v>44698</v>
      </c>
      <c r="H3" s="9" t="s">
        <v>4</v>
      </c>
      <c r="I3" s="21">
        <v>44704</v>
      </c>
      <c r="J3" s="9" t="s">
        <v>4</v>
      </c>
      <c r="K3" s="21">
        <v>44705</v>
      </c>
      <c r="L3" s="9" t="s">
        <v>4</v>
      </c>
      <c r="M3" s="21">
        <v>44699</v>
      </c>
      <c r="N3" s="9" t="s">
        <v>4</v>
      </c>
      <c r="O3" s="21">
        <v>44704</v>
      </c>
    </row>
    <row r="4" spans="1:15" ht="15" hidden="1" thickBot="1" x14ac:dyDescent="0.2">
      <c r="A4" s="10"/>
      <c r="B4" s="6"/>
      <c r="C4" s="6"/>
      <c r="D4" s="80"/>
      <c r="E4" s="80"/>
      <c r="F4" s="11" t="s">
        <v>5</v>
      </c>
      <c r="G4" s="8"/>
      <c r="H4" s="11" t="s">
        <v>5</v>
      </c>
      <c r="I4" s="8"/>
      <c r="J4" s="11" t="s">
        <v>5</v>
      </c>
      <c r="K4" s="8"/>
      <c r="L4" s="11" t="s">
        <v>5</v>
      </c>
      <c r="M4" s="8"/>
      <c r="N4" s="11" t="s">
        <v>5</v>
      </c>
      <c r="O4" s="8"/>
    </row>
    <row r="5" spans="1:15" ht="15" hidden="1" thickBot="1" x14ac:dyDescent="0.2">
      <c r="A5" s="10"/>
      <c r="B5" s="6"/>
      <c r="C5" s="6"/>
      <c r="D5" s="80"/>
      <c r="E5" s="80"/>
      <c r="F5" s="12" t="s">
        <v>6</v>
      </c>
      <c r="G5" s="13" t="s">
        <v>7</v>
      </c>
      <c r="H5" s="12" t="s">
        <v>6</v>
      </c>
      <c r="I5" s="13" t="s">
        <v>7</v>
      </c>
      <c r="J5" s="12" t="s">
        <v>6</v>
      </c>
      <c r="K5" s="13" t="s">
        <v>7</v>
      </c>
      <c r="L5" s="12" t="s">
        <v>6</v>
      </c>
      <c r="M5" s="13" t="s">
        <v>7</v>
      </c>
      <c r="N5" s="12" t="s">
        <v>6</v>
      </c>
      <c r="O5" s="13" t="s">
        <v>7</v>
      </c>
    </row>
    <row r="6" spans="1:15" s="113" customFormat="1" ht="15" hidden="1" thickBot="1" x14ac:dyDescent="0.2">
      <c r="A6" s="5"/>
      <c r="B6" s="14"/>
      <c r="C6" s="14"/>
      <c r="D6" s="81"/>
      <c r="E6" s="81"/>
      <c r="F6" s="112">
        <v>44644</v>
      </c>
      <c r="G6" s="111">
        <v>207</v>
      </c>
      <c r="H6" s="112">
        <v>44715</v>
      </c>
      <c r="I6" s="111">
        <v>244</v>
      </c>
      <c r="J6" s="112">
        <v>44713</v>
      </c>
      <c r="K6" s="111">
        <v>195</v>
      </c>
      <c r="L6" s="112">
        <v>44638</v>
      </c>
      <c r="M6" s="111">
        <v>188</v>
      </c>
      <c r="N6" s="112">
        <v>44663</v>
      </c>
      <c r="O6" s="111">
        <v>228</v>
      </c>
    </row>
    <row r="7" spans="1:15" ht="15" hidden="1" thickBot="1" x14ac:dyDescent="0.2">
      <c r="A7" s="10"/>
      <c r="B7" s="6"/>
      <c r="C7" s="6"/>
      <c r="D7" s="80"/>
      <c r="E7" s="80"/>
      <c r="F7" s="12" t="s">
        <v>8</v>
      </c>
      <c r="G7" s="13" t="s">
        <v>9</v>
      </c>
      <c r="H7" s="12" t="s">
        <v>8</v>
      </c>
      <c r="I7" s="13" t="s">
        <v>9</v>
      </c>
      <c r="J7" s="12" t="s">
        <v>8</v>
      </c>
      <c r="K7" s="13" t="s">
        <v>9</v>
      </c>
      <c r="L7" s="12" t="s">
        <v>8</v>
      </c>
      <c r="M7" s="13" t="s">
        <v>9</v>
      </c>
      <c r="N7" s="12" t="s">
        <v>8</v>
      </c>
      <c r="O7" s="13" t="s">
        <v>9</v>
      </c>
    </row>
    <row r="8" spans="1:15" s="113" customFormat="1" ht="15" hidden="1" thickBot="1" x14ac:dyDescent="0.2">
      <c r="A8" s="15"/>
      <c r="B8" s="16"/>
      <c r="C8" s="16"/>
      <c r="D8" s="82"/>
      <c r="E8" s="82"/>
      <c r="F8" s="114">
        <v>13</v>
      </c>
      <c r="G8" s="115" t="s">
        <v>173</v>
      </c>
      <c r="H8" s="114">
        <v>6</v>
      </c>
      <c r="I8" s="115" t="s">
        <v>173</v>
      </c>
      <c r="J8" s="114">
        <v>9</v>
      </c>
      <c r="K8" s="115" t="s">
        <v>174</v>
      </c>
      <c r="L8" s="114">
        <v>204</v>
      </c>
      <c r="M8" s="115" t="s">
        <v>170</v>
      </c>
      <c r="N8" s="114">
        <v>60</v>
      </c>
      <c r="O8" s="115" t="s">
        <v>171</v>
      </c>
    </row>
    <row r="9" spans="1:15" x14ac:dyDescent="0.15">
      <c r="A9" s="18" t="s">
        <v>10</v>
      </c>
      <c r="B9" s="18" t="s">
        <v>11</v>
      </c>
      <c r="C9" s="17" t="s">
        <v>12</v>
      </c>
      <c r="D9" s="83" t="s">
        <v>13</v>
      </c>
      <c r="E9" s="84" t="s">
        <v>14</v>
      </c>
      <c r="F9" s="19" t="s">
        <v>15</v>
      </c>
      <c r="G9" s="20" t="s">
        <v>16</v>
      </c>
      <c r="H9" s="19" t="s">
        <v>15</v>
      </c>
      <c r="I9" s="20" t="s">
        <v>16</v>
      </c>
      <c r="J9" s="19" t="s">
        <v>15</v>
      </c>
      <c r="K9" s="20" t="s">
        <v>16</v>
      </c>
      <c r="L9" s="19" t="s">
        <v>15</v>
      </c>
      <c r="M9" s="20" t="s">
        <v>16</v>
      </c>
      <c r="N9" s="19" t="s">
        <v>15</v>
      </c>
      <c r="O9" s="20" t="s">
        <v>16</v>
      </c>
    </row>
    <row r="10" spans="1:15" s="109" customFormat="1" x14ac:dyDescent="0.15">
      <c r="A10" s="104"/>
      <c r="B10" s="105"/>
      <c r="C10" s="105"/>
      <c r="D10" s="106"/>
      <c r="E10" s="107"/>
      <c r="F10" s="70"/>
      <c r="G10" s="108"/>
      <c r="H10" s="70"/>
      <c r="I10" s="108"/>
      <c r="J10" s="70" t="s">
        <v>165</v>
      </c>
      <c r="K10" s="108"/>
      <c r="L10" s="70" t="s">
        <v>165</v>
      </c>
      <c r="M10" s="108"/>
      <c r="N10" s="70"/>
      <c r="O10" s="108"/>
    </row>
    <row r="11" spans="1:15" x14ac:dyDescent="0.15">
      <c r="A11" s="65" t="s">
        <v>19</v>
      </c>
      <c r="B11" s="66"/>
      <c r="C11" s="66" t="s">
        <v>90</v>
      </c>
      <c r="D11" s="87"/>
      <c r="E11" s="88"/>
      <c r="F11" s="67"/>
      <c r="G11" s="68"/>
      <c r="H11" s="67"/>
      <c r="I11" s="68"/>
      <c r="J11" s="69"/>
      <c r="K11" s="68"/>
      <c r="L11" s="67"/>
      <c r="M11" s="68"/>
      <c r="N11" s="67"/>
      <c r="O11" s="68"/>
    </row>
    <row r="12" spans="1:15" x14ac:dyDescent="0.15">
      <c r="A12" s="23" t="s">
        <v>21</v>
      </c>
      <c r="B12" s="24"/>
      <c r="C12" s="24" t="s">
        <v>92</v>
      </c>
      <c r="D12" s="85">
        <v>5742</v>
      </c>
      <c r="E12" s="86" t="s">
        <v>135</v>
      </c>
      <c r="F12" s="116">
        <f>Tabelle1!F12</f>
        <v>2.8</v>
      </c>
      <c r="G12" s="57">
        <f>$D12*F12</f>
        <v>16077.599999999999</v>
      </c>
      <c r="H12" s="116">
        <f>Tabelle1!H12</f>
        <v>2.85</v>
      </c>
      <c r="I12" s="57">
        <f>$D12*H12</f>
        <v>16364.7</v>
      </c>
      <c r="J12" s="118">
        <v>2.44</v>
      </c>
      <c r="K12" s="57">
        <f>$D12*J12</f>
        <v>14010.48</v>
      </c>
      <c r="L12" s="25">
        <v>5.65</v>
      </c>
      <c r="M12" s="57">
        <f>$D12*L12</f>
        <v>32442.300000000003</v>
      </c>
      <c r="N12" s="116">
        <v>1.7</v>
      </c>
      <c r="O12" s="57">
        <f>$D12*N12</f>
        <v>9761.4</v>
      </c>
    </row>
    <row r="13" spans="1:15" ht="15" x14ac:dyDescent="0.15">
      <c r="A13" s="23" t="s">
        <v>22</v>
      </c>
      <c r="B13" s="24"/>
      <c r="C13" s="120" t="s">
        <v>172</v>
      </c>
      <c r="D13" s="85">
        <v>4430</v>
      </c>
      <c r="E13" s="86" t="s">
        <v>135</v>
      </c>
      <c r="F13" s="116">
        <f>Tabelle1!F13</f>
        <v>35.75</v>
      </c>
      <c r="G13" s="57">
        <f>$D13*F13</f>
        <v>158372.5</v>
      </c>
      <c r="H13" s="116">
        <f>Tabelle1!H13</f>
        <v>34.840000000000003</v>
      </c>
      <c r="I13" s="57">
        <f>$D13*H13</f>
        <v>154341.20000000001</v>
      </c>
      <c r="J13" s="26">
        <v>37.33</v>
      </c>
      <c r="K13" s="57">
        <f>$D13*J13</f>
        <v>165371.9</v>
      </c>
      <c r="L13" s="25">
        <v>36</v>
      </c>
      <c r="M13" s="57">
        <f>$D13*L13</f>
        <v>159480</v>
      </c>
      <c r="N13" s="116">
        <v>37.5</v>
      </c>
      <c r="O13" s="57">
        <f>$D13*N13</f>
        <v>166125</v>
      </c>
    </row>
    <row r="14" spans="1:15" ht="30" x14ac:dyDescent="0.15">
      <c r="A14" s="23" t="s">
        <v>23</v>
      </c>
      <c r="B14" s="24"/>
      <c r="C14" s="27" t="s">
        <v>93</v>
      </c>
      <c r="D14" s="85">
        <v>1313</v>
      </c>
      <c r="E14" s="86" t="s">
        <v>135</v>
      </c>
      <c r="F14" s="116">
        <f>Tabelle1!F14</f>
        <v>48.1</v>
      </c>
      <c r="G14" s="57">
        <f>$D14*F14</f>
        <v>63155.3</v>
      </c>
      <c r="H14" s="116">
        <f>Tabelle1!H14</f>
        <v>46.75</v>
      </c>
      <c r="I14" s="57">
        <f>$D14*H14</f>
        <v>61382.75</v>
      </c>
      <c r="J14" s="26">
        <v>49.95</v>
      </c>
      <c r="K14" s="57">
        <f>$D14*J14</f>
        <v>65584.350000000006</v>
      </c>
      <c r="L14" s="25">
        <v>49.55</v>
      </c>
      <c r="M14" s="57">
        <f>$D14*L14</f>
        <v>65059.149999999994</v>
      </c>
      <c r="N14" s="116">
        <v>51.54</v>
      </c>
      <c r="O14" s="57">
        <f>$D14*N14</f>
        <v>67672.02</v>
      </c>
    </row>
    <row r="15" spans="1:15" x14ac:dyDescent="0.15">
      <c r="A15" s="23" t="s">
        <v>24</v>
      </c>
      <c r="B15" s="24" t="s">
        <v>89</v>
      </c>
      <c r="C15" s="24" t="s">
        <v>94</v>
      </c>
      <c r="D15" s="85">
        <v>1</v>
      </c>
      <c r="E15" s="86" t="s">
        <v>135</v>
      </c>
      <c r="F15" s="116">
        <f>Tabelle1!F15</f>
        <v>5.0999999999999996</v>
      </c>
      <c r="G15" s="57" t="s">
        <v>143</v>
      </c>
      <c r="H15" s="116">
        <f>Tabelle1!H15</f>
        <v>4.25</v>
      </c>
      <c r="I15" s="57" t="s">
        <v>143</v>
      </c>
      <c r="J15" s="76">
        <v>44.44</v>
      </c>
      <c r="K15" s="57" t="s">
        <v>143</v>
      </c>
      <c r="L15" s="25">
        <v>5.05</v>
      </c>
      <c r="M15" s="57" t="s">
        <v>143</v>
      </c>
      <c r="N15" s="116">
        <v>5.3</v>
      </c>
      <c r="O15" s="57" t="s">
        <v>143</v>
      </c>
    </row>
    <row r="16" spans="1:15" x14ac:dyDescent="0.15">
      <c r="A16" s="23" t="s">
        <v>25</v>
      </c>
      <c r="B16" s="24" t="s">
        <v>89</v>
      </c>
      <c r="C16" s="24" t="s">
        <v>95</v>
      </c>
      <c r="D16" s="85">
        <v>1</v>
      </c>
      <c r="E16" s="86" t="s">
        <v>135</v>
      </c>
      <c r="F16" s="116">
        <f>Tabelle1!F16</f>
        <v>5.0999999999999996</v>
      </c>
      <c r="G16" s="57" t="s">
        <v>143</v>
      </c>
      <c r="H16" s="116">
        <f>Tabelle1!H16</f>
        <v>4.25</v>
      </c>
      <c r="I16" s="57" t="s">
        <v>143</v>
      </c>
      <c r="J16" s="76">
        <v>53</v>
      </c>
      <c r="K16" s="57" t="s">
        <v>143</v>
      </c>
      <c r="L16" s="25">
        <v>5.05</v>
      </c>
      <c r="M16" s="57" t="s">
        <v>143</v>
      </c>
      <c r="N16" s="116">
        <f>Tabelle1!N16</f>
        <v>5.3</v>
      </c>
      <c r="O16" s="57" t="s">
        <v>143</v>
      </c>
    </row>
    <row r="17" spans="1:15" x14ac:dyDescent="0.15">
      <c r="A17" s="65" t="s">
        <v>26</v>
      </c>
      <c r="B17" s="66" t="s">
        <v>89</v>
      </c>
      <c r="C17" s="125" t="s">
        <v>185</v>
      </c>
      <c r="D17" s="87">
        <v>385</v>
      </c>
      <c r="E17" s="88" t="s">
        <v>136</v>
      </c>
      <c r="F17" s="116">
        <f>Tabelle1!F17</f>
        <v>5.65</v>
      </c>
      <c r="G17" s="68">
        <f>$D17*F17</f>
        <v>2175.25</v>
      </c>
      <c r="H17" s="67">
        <v>6.1</v>
      </c>
      <c r="I17" s="68">
        <f>$D17*H17</f>
        <v>2348.5</v>
      </c>
      <c r="J17" s="26">
        <v>4</v>
      </c>
      <c r="K17" s="68">
        <f>$D17*J17</f>
        <v>1540</v>
      </c>
      <c r="L17" s="117">
        <v>1.25</v>
      </c>
      <c r="M17" s="57" t="s">
        <v>143</v>
      </c>
      <c r="N17" s="67">
        <v>5.8</v>
      </c>
      <c r="O17" s="68">
        <f>$D17*N17</f>
        <v>2233</v>
      </c>
    </row>
    <row r="18" spans="1:15" x14ac:dyDescent="0.15">
      <c r="A18" s="23" t="s">
        <v>27</v>
      </c>
      <c r="B18" s="24" t="s">
        <v>89</v>
      </c>
      <c r="C18" s="24" t="s">
        <v>97</v>
      </c>
      <c r="D18" s="85">
        <v>1</v>
      </c>
      <c r="E18" s="86" t="s">
        <v>136</v>
      </c>
      <c r="F18" s="116">
        <f>Tabelle1!F18</f>
        <v>12.4</v>
      </c>
      <c r="G18" s="57" t="s">
        <v>143</v>
      </c>
      <c r="H18" s="116">
        <f>Tabelle1!H18</f>
        <v>4.5</v>
      </c>
      <c r="I18" s="57" t="s">
        <v>143</v>
      </c>
      <c r="J18" s="26">
        <v>4</v>
      </c>
      <c r="K18" s="57" t="s">
        <v>143</v>
      </c>
      <c r="L18" s="117">
        <v>1.85</v>
      </c>
      <c r="M18" s="57" t="s">
        <v>143</v>
      </c>
      <c r="N18" s="116" t="str">
        <f>Tabelle1!N18</f>
        <v>nicht notwendig</v>
      </c>
      <c r="O18" s="57" t="s">
        <v>143</v>
      </c>
    </row>
    <row r="19" spans="1:15" ht="15.5" customHeight="1" x14ac:dyDescent="0.15">
      <c r="A19" s="23" t="s">
        <v>28</v>
      </c>
      <c r="B19" s="24"/>
      <c r="C19" s="24" t="s">
        <v>162</v>
      </c>
      <c r="D19" s="85">
        <v>3923</v>
      </c>
      <c r="E19" s="86" t="s">
        <v>137</v>
      </c>
      <c r="F19" s="116"/>
      <c r="G19" s="57"/>
      <c r="H19" s="116">
        <f>Tabelle1!H19</f>
        <v>5.9</v>
      </c>
      <c r="I19" s="127" t="s">
        <v>143</v>
      </c>
      <c r="J19" s="26"/>
      <c r="K19" s="127" t="s">
        <v>143</v>
      </c>
      <c r="L19" s="25"/>
      <c r="M19" s="57"/>
      <c r="N19" s="116">
        <f>Tabelle1!N19</f>
        <v>5.5</v>
      </c>
      <c r="O19" s="127" t="s">
        <v>143</v>
      </c>
    </row>
    <row r="20" spans="1:15" ht="15.5" customHeight="1" x14ac:dyDescent="0.15">
      <c r="A20" s="124" t="s">
        <v>177</v>
      </c>
      <c r="B20" s="66"/>
      <c r="C20" s="125" t="s">
        <v>178</v>
      </c>
      <c r="D20" s="87">
        <v>3923</v>
      </c>
      <c r="E20" s="126" t="s">
        <v>137</v>
      </c>
      <c r="F20" s="67">
        <v>9.2799999999999994</v>
      </c>
      <c r="G20" s="68">
        <f>$D20*F20</f>
        <v>36405.439999999995</v>
      </c>
      <c r="H20" s="67">
        <v>6.35</v>
      </c>
      <c r="I20" s="68">
        <f>$D20*H20</f>
        <v>24911.05</v>
      </c>
      <c r="J20" s="26"/>
      <c r="K20" s="68">
        <f>$D20*J20</f>
        <v>0</v>
      </c>
      <c r="L20" s="25"/>
      <c r="M20" s="57"/>
      <c r="N20" s="67">
        <v>6.95</v>
      </c>
      <c r="O20" s="68">
        <f>$D20*N20</f>
        <v>27264.850000000002</v>
      </c>
    </row>
    <row r="21" spans="1:15" ht="15.5" customHeight="1" x14ac:dyDescent="0.15">
      <c r="A21" s="23"/>
      <c r="B21" s="24"/>
      <c r="C21" s="138" t="s">
        <v>191</v>
      </c>
      <c r="D21" s="134">
        <v>3923</v>
      </c>
      <c r="E21" s="135" t="s">
        <v>137</v>
      </c>
      <c r="F21" s="116"/>
      <c r="G21" s="57"/>
      <c r="H21" s="116"/>
      <c r="I21" s="127"/>
      <c r="J21" s="26"/>
      <c r="K21" s="127"/>
      <c r="L21" s="25"/>
      <c r="M21" s="57"/>
      <c r="N21" s="136">
        <v>7.35</v>
      </c>
      <c r="O21" s="137" t="s">
        <v>143</v>
      </c>
    </row>
    <row r="22" spans="1:15" ht="15.5" customHeight="1" x14ac:dyDescent="0.15">
      <c r="A22" s="23"/>
      <c r="B22" s="24"/>
      <c r="C22" s="73" t="s">
        <v>213</v>
      </c>
      <c r="D22" s="89">
        <v>1</v>
      </c>
      <c r="E22" s="90" t="s">
        <v>137</v>
      </c>
      <c r="F22" s="74">
        <v>5.88</v>
      </c>
      <c r="G22" s="129" t="s">
        <v>143</v>
      </c>
      <c r="H22" s="116"/>
      <c r="I22" s="127"/>
      <c r="J22" s="26"/>
      <c r="K22" s="127"/>
      <c r="L22" s="25"/>
      <c r="M22" s="57"/>
      <c r="N22" s="116"/>
      <c r="O22" s="57"/>
    </row>
    <row r="23" spans="1:15" hidden="1" x14ac:dyDescent="0.15">
      <c r="A23" s="23"/>
      <c r="B23" s="24"/>
      <c r="C23" s="73" t="s">
        <v>161</v>
      </c>
      <c r="D23" s="89">
        <v>3923</v>
      </c>
      <c r="E23" s="90" t="s">
        <v>137</v>
      </c>
      <c r="F23" s="116">
        <f>Tabelle1!F20</f>
        <v>4.8499999999999996</v>
      </c>
      <c r="G23" s="129" t="s">
        <v>143</v>
      </c>
      <c r="H23" s="116">
        <f>Tabelle1!H20</f>
        <v>0</v>
      </c>
      <c r="I23" s="57"/>
      <c r="J23" s="26">
        <v>5.2</v>
      </c>
      <c r="K23" s="57"/>
      <c r="L23" s="25">
        <v>5.2</v>
      </c>
      <c r="M23" s="57">
        <f>$D23*L23</f>
        <v>20399.600000000002</v>
      </c>
      <c r="N23" s="116"/>
      <c r="O23" s="57"/>
    </row>
    <row r="24" spans="1:15" hidden="1" x14ac:dyDescent="0.15">
      <c r="A24" s="23"/>
      <c r="B24" s="24"/>
      <c r="C24" s="73" t="s">
        <v>166</v>
      </c>
      <c r="D24" s="89">
        <v>3923</v>
      </c>
      <c r="E24" s="90" t="s">
        <v>137</v>
      </c>
      <c r="F24" s="116">
        <f>Tabelle1!F21</f>
        <v>5.7</v>
      </c>
      <c r="G24" s="75" t="s">
        <v>143</v>
      </c>
      <c r="H24" s="116">
        <f>Tabelle1!H21</f>
        <v>0</v>
      </c>
      <c r="I24" s="57"/>
      <c r="J24" s="26">
        <v>6.8</v>
      </c>
      <c r="K24" s="57"/>
      <c r="L24" s="25"/>
      <c r="M24" s="57"/>
      <c r="N24" s="116"/>
      <c r="O24" s="57"/>
    </row>
    <row r="25" spans="1:15" hidden="1" x14ac:dyDescent="0.15">
      <c r="A25" s="23" t="s">
        <v>29</v>
      </c>
      <c r="B25" s="24" t="s">
        <v>89</v>
      </c>
      <c r="C25" s="24" t="s">
        <v>99</v>
      </c>
      <c r="D25" s="85">
        <v>1</v>
      </c>
      <c r="E25" s="86" t="s">
        <v>137</v>
      </c>
      <c r="F25" s="116"/>
      <c r="G25" s="57"/>
      <c r="H25" s="116">
        <f>Tabelle1!H22</f>
        <v>6.9</v>
      </c>
      <c r="I25" s="57" t="s">
        <v>143</v>
      </c>
      <c r="J25" s="76" t="s">
        <v>163</v>
      </c>
      <c r="K25" s="57" t="s">
        <v>143</v>
      </c>
      <c r="L25" s="25"/>
      <c r="M25" s="57"/>
      <c r="N25" s="116">
        <f>Tabelle1!N22</f>
        <v>6.75</v>
      </c>
      <c r="O25" s="57" t="s">
        <v>143</v>
      </c>
    </row>
    <row r="26" spans="1:15" hidden="1" x14ac:dyDescent="0.15">
      <c r="A26" s="23"/>
      <c r="B26" s="24"/>
      <c r="C26" s="73" t="s">
        <v>161</v>
      </c>
      <c r="D26" s="89">
        <v>1</v>
      </c>
      <c r="E26" s="90" t="s">
        <v>137</v>
      </c>
      <c r="F26" s="116">
        <f>Tabelle1!F23</f>
        <v>6</v>
      </c>
      <c r="G26" s="75" t="s">
        <v>143</v>
      </c>
      <c r="H26" s="116">
        <f>Tabelle1!H23</f>
        <v>0</v>
      </c>
      <c r="I26" s="57"/>
      <c r="J26" s="26"/>
      <c r="K26" s="57"/>
      <c r="L26" s="117">
        <v>5.95</v>
      </c>
      <c r="M26" s="57" t="s">
        <v>143</v>
      </c>
      <c r="N26" s="116">
        <f>Tabelle1!N23</f>
        <v>0</v>
      </c>
      <c r="O26" s="57"/>
    </row>
    <row r="27" spans="1:15" hidden="1" x14ac:dyDescent="0.15">
      <c r="A27" s="23"/>
      <c r="B27" s="24"/>
      <c r="C27" s="73" t="s">
        <v>166</v>
      </c>
      <c r="D27" s="89">
        <v>1</v>
      </c>
      <c r="E27" s="90" t="s">
        <v>137</v>
      </c>
      <c r="F27" s="116">
        <f>Tabelle1!F24</f>
        <v>7.1</v>
      </c>
      <c r="G27" s="75" t="s">
        <v>143</v>
      </c>
      <c r="H27" s="116">
        <f>Tabelle1!H24</f>
        <v>0</v>
      </c>
      <c r="I27" s="57"/>
      <c r="J27" s="26"/>
      <c r="K27" s="57"/>
      <c r="L27" s="25"/>
      <c r="M27" s="57"/>
      <c r="N27" s="116">
        <f>Tabelle1!N24</f>
        <v>0</v>
      </c>
      <c r="O27" s="57"/>
    </row>
    <row r="28" spans="1:15" x14ac:dyDescent="0.15">
      <c r="A28" s="23" t="s">
        <v>30</v>
      </c>
      <c r="B28" s="24" t="s">
        <v>89</v>
      </c>
      <c r="C28" s="24" t="s">
        <v>100</v>
      </c>
      <c r="D28" s="85">
        <v>1</v>
      </c>
      <c r="E28" s="86" t="s">
        <v>137</v>
      </c>
      <c r="F28" s="116">
        <f>Tabelle1!F25</f>
        <v>13.8</v>
      </c>
      <c r="G28" s="57" t="s">
        <v>143</v>
      </c>
      <c r="H28" s="116">
        <f>Tabelle1!H25</f>
        <v>14.9</v>
      </c>
      <c r="I28" s="57" t="s">
        <v>143</v>
      </c>
      <c r="J28" s="26">
        <v>24</v>
      </c>
      <c r="K28" s="57" t="s">
        <v>143</v>
      </c>
      <c r="L28" s="117">
        <v>7.25</v>
      </c>
      <c r="M28" s="57" t="s">
        <v>143</v>
      </c>
      <c r="N28" s="116">
        <f>Tabelle1!N25</f>
        <v>13.15</v>
      </c>
      <c r="O28" s="57" t="s">
        <v>143</v>
      </c>
    </row>
    <row r="29" spans="1:15" x14ac:dyDescent="0.15">
      <c r="A29" s="23" t="s">
        <v>31</v>
      </c>
      <c r="B29" s="24" t="s">
        <v>89</v>
      </c>
      <c r="C29" s="24" t="s">
        <v>101</v>
      </c>
      <c r="D29" s="85">
        <v>1</v>
      </c>
      <c r="E29" s="86" t="s">
        <v>137</v>
      </c>
      <c r="F29" s="116">
        <f>Tabelle1!F26</f>
        <v>16.7</v>
      </c>
      <c r="G29" s="57" t="s">
        <v>143</v>
      </c>
      <c r="H29" s="116">
        <f>Tabelle1!H26</f>
        <v>19.899999999999999</v>
      </c>
      <c r="I29" s="57" t="s">
        <v>143</v>
      </c>
      <c r="J29" s="76" t="s">
        <v>163</v>
      </c>
      <c r="K29" s="57" t="s">
        <v>143</v>
      </c>
      <c r="L29" s="25">
        <v>13.95</v>
      </c>
      <c r="M29" s="57" t="s">
        <v>143</v>
      </c>
      <c r="N29" s="116">
        <f>Tabelle1!N26</f>
        <v>18.95</v>
      </c>
      <c r="O29" s="57" t="s">
        <v>143</v>
      </c>
    </row>
    <row r="30" spans="1:15" x14ac:dyDescent="0.15">
      <c r="A30" s="28" t="s">
        <v>20</v>
      </c>
      <c r="B30" s="29"/>
      <c r="C30" s="29" t="s">
        <v>91</v>
      </c>
      <c r="D30" s="91"/>
      <c r="E30" s="92"/>
      <c r="F30" s="30"/>
      <c r="G30" s="58">
        <f>SUM(G12:G29)</f>
        <v>276186.09000000003</v>
      </c>
      <c r="H30" s="30"/>
      <c r="I30" s="58">
        <f>SUM(I12:I29)</f>
        <v>259348.2</v>
      </c>
      <c r="J30" s="30"/>
      <c r="K30" s="58">
        <f>SUM(K12:K29)</f>
        <v>246506.73</v>
      </c>
      <c r="L30" s="30"/>
      <c r="M30" s="58">
        <f>SUM(M12:M29)</f>
        <v>277381.05</v>
      </c>
      <c r="N30" s="30"/>
      <c r="O30" s="58">
        <f>SUM(O12:O29)</f>
        <v>273056.26999999996</v>
      </c>
    </row>
    <row r="31" spans="1:15" x14ac:dyDescent="0.15">
      <c r="A31" s="23"/>
      <c r="B31" s="24"/>
      <c r="C31" s="24"/>
      <c r="D31" s="85"/>
      <c r="E31" s="86"/>
      <c r="F31" s="25"/>
      <c r="G31" s="57"/>
      <c r="H31" s="25"/>
      <c r="I31" s="57"/>
      <c r="J31" s="26"/>
      <c r="K31" s="57"/>
      <c r="L31" s="25"/>
      <c r="M31" s="57"/>
      <c r="N31" s="25"/>
      <c r="O31" s="57"/>
    </row>
    <row r="32" spans="1:15" x14ac:dyDescent="0.15">
      <c r="A32" s="23" t="s">
        <v>33</v>
      </c>
      <c r="B32" s="24"/>
      <c r="C32" s="24" t="s">
        <v>92</v>
      </c>
      <c r="D32" s="85">
        <v>1885</v>
      </c>
      <c r="E32" s="86" t="s">
        <v>135</v>
      </c>
      <c r="F32" s="116">
        <f>Tabelle1!F29</f>
        <v>3.6</v>
      </c>
      <c r="G32" s="57">
        <f>$D32*F32</f>
        <v>6786</v>
      </c>
      <c r="H32" s="116">
        <f>Tabelle1!H29</f>
        <v>7.75</v>
      </c>
      <c r="I32" s="57">
        <f>$D32*H32</f>
        <v>14608.75</v>
      </c>
      <c r="J32" s="26">
        <v>6.8</v>
      </c>
      <c r="K32" s="57">
        <f>$D32*J32</f>
        <v>12818</v>
      </c>
      <c r="L32" s="25">
        <v>5.65</v>
      </c>
      <c r="M32" s="57">
        <f>$D32*L32</f>
        <v>10650.25</v>
      </c>
      <c r="N32" s="116">
        <f>Tabelle1!N29</f>
        <v>5.0999999999999996</v>
      </c>
      <c r="O32" s="57">
        <f>$D32*N32</f>
        <v>9613.5</v>
      </c>
    </row>
    <row r="33" spans="1:15" x14ac:dyDescent="0.15">
      <c r="A33" s="23" t="s">
        <v>34</v>
      </c>
      <c r="B33" s="24"/>
      <c r="C33" s="24" t="s">
        <v>103</v>
      </c>
      <c r="D33" s="85">
        <v>1885</v>
      </c>
      <c r="E33" s="86" t="s">
        <v>135</v>
      </c>
      <c r="F33" s="116">
        <f>Tabelle1!F30</f>
        <v>38.15</v>
      </c>
      <c r="G33" s="57">
        <f>$D33*F33</f>
        <v>71912.75</v>
      </c>
      <c r="H33" s="116">
        <f>Tabelle1!H30</f>
        <v>37.69</v>
      </c>
      <c r="I33" s="57">
        <f>$D33*H33</f>
        <v>71045.649999999994</v>
      </c>
      <c r="J33" s="118">
        <v>37</v>
      </c>
      <c r="K33" s="57">
        <f>$D33*J33</f>
        <v>69745</v>
      </c>
      <c r="L33" s="25">
        <v>41.45</v>
      </c>
      <c r="M33" s="57">
        <f>$D33*L33</f>
        <v>78133.25</v>
      </c>
      <c r="N33" s="116">
        <v>38.5</v>
      </c>
      <c r="O33" s="57">
        <f>$D33*N33</f>
        <v>72572.5</v>
      </c>
    </row>
    <row r="34" spans="1:15" x14ac:dyDescent="0.15">
      <c r="A34" s="23"/>
      <c r="B34" s="24"/>
      <c r="C34" s="125" t="s">
        <v>187</v>
      </c>
      <c r="D34" s="87">
        <v>81</v>
      </c>
      <c r="E34" s="126" t="s">
        <v>186</v>
      </c>
      <c r="F34" s="67">
        <v>38.15</v>
      </c>
      <c r="G34" s="68">
        <f>$D34*F34</f>
        <v>3090.15</v>
      </c>
      <c r="H34" s="67">
        <v>37.69</v>
      </c>
      <c r="I34" s="68">
        <f>$D34*H34</f>
        <v>3052.89</v>
      </c>
      <c r="J34" s="118">
        <v>37</v>
      </c>
      <c r="K34" s="68">
        <f>$D34*J34</f>
        <v>2997</v>
      </c>
      <c r="L34" s="25"/>
      <c r="M34" s="57"/>
      <c r="N34" s="116">
        <v>38.5</v>
      </c>
      <c r="O34" s="57">
        <f>$D34*N34</f>
        <v>3118.5</v>
      </c>
    </row>
    <row r="35" spans="1:15" x14ac:dyDescent="0.15">
      <c r="A35" s="23" t="s">
        <v>35</v>
      </c>
      <c r="B35" s="24"/>
      <c r="C35" s="24" t="s">
        <v>104</v>
      </c>
      <c r="D35" s="85">
        <v>1351</v>
      </c>
      <c r="E35" s="86" t="s">
        <v>137</v>
      </c>
      <c r="F35" s="116">
        <f>Tabelle1!F31</f>
        <v>3.45</v>
      </c>
      <c r="G35" s="127" t="s">
        <v>143</v>
      </c>
      <c r="H35" s="116">
        <f>Tabelle1!H31</f>
        <v>4.9000000000000004</v>
      </c>
      <c r="I35" s="127" t="s">
        <v>143</v>
      </c>
      <c r="J35" s="26">
        <v>5.6</v>
      </c>
      <c r="K35" s="127" t="s">
        <v>143</v>
      </c>
      <c r="L35" s="25">
        <v>6.75</v>
      </c>
      <c r="M35" s="57">
        <f>$D35*L35</f>
        <v>9119.25</v>
      </c>
      <c r="N35" s="116">
        <v>3.72</v>
      </c>
      <c r="O35" s="127" t="s">
        <v>143</v>
      </c>
    </row>
    <row r="36" spans="1:15" ht="15.5" customHeight="1" x14ac:dyDescent="0.15">
      <c r="A36" s="124" t="s">
        <v>179</v>
      </c>
      <c r="B36" s="66"/>
      <c r="C36" s="125" t="s">
        <v>178</v>
      </c>
      <c r="D36" s="87">
        <v>1351</v>
      </c>
      <c r="E36" s="126" t="s">
        <v>137</v>
      </c>
      <c r="F36" s="67">
        <v>9.2799999999999994</v>
      </c>
      <c r="G36" s="68">
        <f>$D36*F36</f>
        <v>12537.279999999999</v>
      </c>
      <c r="H36" s="67">
        <v>8.3000000000000007</v>
      </c>
      <c r="I36" s="68">
        <f>$D36*H36</f>
        <v>11213.300000000001</v>
      </c>
      <c r="J36" s="26"/>
      <c r="K36" s="68">
        <f>$D36*J36</f>
        <v>0</v>
      </c>
      <c r="L36" s="25"/>
      <c r="M36" s="57"/>
      <c r="N36" s="67">
        <v>6.95</v>
      </c>
      <c r="O36" s="68">
        <f>$D36*N36</f>
        <v>9389.4500000000007</v>
      </c>
    </row>
    <row r="37" spans="1:15" ht="15.5" customHeight="1" x14ac:dyDescent="0.15">
      <c r="A37" s="23"/>
      <c r="B37" s="24"/>
      <c r="C37" s="138" t="s">
        <v>191</v>
      </c>
      <c r="D37" s="134">
        <v>1351</v>
      </c>
      <c r="E37" s="135" t="s">
        <v>137</v>
      </c>
      <c r="F37" s="116"/>
      <c r="G37" s="57"/>
      <c r="H37" s="116"/>
      <c r="I37" s="127"/>
      <c r="J37" s="26"/>
      <c r="K37" s="127"/>
      <c r="L37" s="25"/>
      <c r="M37" s="57"/>
      <c r="N37" s="136">
        <v>7.35</v>
      </c>
      <c r="O37" s="137" t="s">
        <v>143</v>
      </c>
    </row>
    <row r="38" spans="1:15" ht="15.5" customHeight="1" x14ac:dyDescent="0.15">
      <c r="A38" s="23"/>
      <c r="B38" s="24"/>
      <c r="C38" s="73" t="s">
        <v>213</v>
      </c>
      <c r="D38" s="89">
        <v>1</v>
      </c>
      <c r="E38" s="90" t="s">
        <v>137</v>
      </c>
      <c r="F38" s="74">
        <v>5.88</v>
      </c>
      <c r="G38" s="129" t="s">
        <v>143</v>
      </c>
      <c r="H38" s="116"/>
      <c r="I38" s="127"/>
      <c r="J38" s="26"/>
      <c r="K38" s="127"/>
      <c r="L38" s="25"/>
      <c r="M38" s="57"/>
      <c r="N38" s="116"/>
      <c r="O38" s="57"/>
    </row>
    <row r="39" spans="1:15" x14ac:dyDescent="0.15">
      <c r="A39" s="23" t="s">
        <v>36</v>
      </c>
      <c r="B39" s="24" t="s">
        <v>89</v>
      </c>
      <c r="C39" s="24" t="s">
        <v>105</v>
      </c>
      <c r="D39" s="85">
        <v>1</v>
      </c>
      <c r="E39" s="86" t="s">
        <v>137</v>
      </c>
      <c r="F39" s="116">
        <f>Tabelle1!F32</f>
        <v>3.85</v>
      </c>
      <c r="G39" s="57" t="s">
        <v>143</v>
      </c>
      <c r="H39" s="116">
        <f>Tabelle1!H32</f>
        <v>5.9</v>
      </c>
      <c r="I39" s="57" t="s">
        <v>143</v>
      </c>
      <c r="J39" s="76" t="s">
        <v>163</v>
      </c>
      <c r="K39" s="57" t="s">
        <v>143</v>
      </c>
      <c r="L39" s="25">
        <v>5.3</v>
      </c>
      <c r="M39" s="57" t="s">
        <v>143</v>
      </c>
      <c r="N39" s="116">
        <f>Tabelle1!N32</f>
        <v>6.4</v>
      </c>
      <c r="O39" s="57" t="s">
        <v>143</v>
      </c>
    </row>
    <row r="40" spans="1:15" x14ac:dyDescent="0.15">
      <c r="A40" s="23" t="s">
        <v>37</v>
      </c>
      <c r="B40" s="24" t="s">
        <v>89</v>
      </c>
      <c r="C40" s="24" t="s">
        <v>106</v>
      </c>
      <c r="D40" s="85">
        <v>1</v>
      </c>
      <c r="E40" s="86" t="s">
        <v>137</v>
      </c>
      <c r="F40" s="116" t="str">
        <f>Tabelle1!F33</f>
        <v>k. Angebot</v>
      </c>
      <c r="G40" s="57" t="s">
        <v>143</v>
      </c>
      <c r="H40" s="116">
        <f>Tabelle1!H33</f>
        <v>8.9</v>
      </c>
      <c r="I40" s="57" t="s">
        <v>143</v>
      </c>
      <c r="J40" s="76" t="s">
        <v>163</v>
      </c>
      <c r="K40" s="57" t="s">
        <v>143</v>
      </c>
      <c r="L40" s="25">
        <v>9.5</v>
      </c>
      <c r="M40" s="57" t="s">
        <v>143</v>
      </c>
      <c r="N40" s="116">
        <f>Tabelle1!N33</f>
        <v>7.95</v>
      </c>
      <c r="O40" s="57" t="s">
        <v>143</v>
      </c>
    </row>
    <row r="41" spans="1:15" x14ac:dyDescent="0.15">
      <c r="A41" s="23" t="s">
        <v>38</v>
      </c>
      <c r="B41" s="24"/>
      <c r="C41" s="24" t="s">
        <v>107</v>
      </c>
      <c r="D41" s="85">
        <v>1885</v>
      </c>
      <c r="E41" s="86" t="s">
        <v>135</v>
      </c>
      <c r="F41" s="116">
        <f>Tabelle1!F34</f>
        <v>1.7</v>
      </c>
      <c r="G41" s="57">
        <f>$D41*F41</f>
        <v>3204.5</v>
      </c>
      <c r="H41" s="116">
        <f>Tabelle1!H34</f>
        <v>3.9</v>
      </c>
      <c r="I41" s="57">
        <f>$D41*H41</f>
        <v>7351.5</v>
      </c>
      <c r="J41" s="76" t="s">
        <v>163</v>
      </c>
      <c r="K41" s="57"/>
      <c r="L41" s="117">
        <v>1.5</v>
      </c>
      <c r="M41" s="57">
        <f>$D41*L41</f>
        <v>2827.5</v>
      </c>
      <c r="N41" s="116">
        <f>Tabelle1!N34</f>
        <v>2.0499999999999998</v>
      </c>
      <c r="O41" s="57">
        <f>$D41*N41</f>
        <v>3864.2499999999995</v>
      </c>
    </row>
    <row r="42" spans="1:15" x14ac:dyDescent="0.15">
      <c r="A42" s="23" t="s">
        <v>39</v>
      </c>
      <c r="B42" s="24" t="s">
        <v>89</v>
      </c>
      <c r="C42" s="24" t="s">
        <v>108</v>
      </c>
      <c r="D42" s="85">
        <v>1</v>
      </c>
      <c r="E42" s="86" t="s">
        <v>137</v>
      </c>
      <c r="F42" s="116">
        <f>Tabelle1!F35</f>
        <v>24.8</v>
      </c>
      <c r="G42" s="57" t="s">
        <v>143</v>
      </c>
      <c r="H42" s="116">
        <f>Tabelle1!H35</f>
        <v>20.9</v>
      </c>
      <c r="I42" s="57" t="s">
        <v>143</v>
      </c>
      <c r="J42" s="26">
        <v>29</v>
      </c>
      <c r="K42" s="57" t="s">
        <v>143</v>
      </c>
      <c r="L42" s="25">
        <v>13.9</v>
      </c>
      <c r="M42" s="57" t="s">
        <v>143</v>
      </c>
      <c r="N42" s="116">
        <f>Tabelle1!N35</f>
        <v>13.15</v>
      </c>
      <c r="O42" s="57" t="s">
        <v>143</v>
      </c>
    </row>
    <row r="43" spans="1:15" ht="30" x14ac:dyDescent="0.15">
      <c r="A43" s="23" t="s">
        <v>40</v>
      </c>
      <c r="B43" s="24" t="s">
        <v>89</v>
      </c>
      <c r="C43" s="27" t="s">
        <v>109</v>
      </c>
      <c r="D43" s="85">
        <v>1</v>
      </c>
      <c r="E43" s="86" t="s">
        <v>135</v>
      </c>
      <c r="F43" s="116" t="str">
        <f>Tabelle1!F36</f>
        <v>k. Angebot</v>
      </c>
      <c r="G43" s="57" t="s">
        <v>143</v>
      </c>
      <c r="H43" s="116">
        <f>Tabelle1!H36</f>
        <v>6.9</v>
      </c>
      <c r="I43" s="57" t="s">
        <v>143</v>
      </c>
      <c r="J43" s="26">
        <v>6.8</v>
      </c>
      <c r="K43" s="57" t="s">
        <v>143</v>
      </c>
      <c r="L43" s="25">
        <v>14.45</v>
      </c>
      <c r="M43" s="57" t="s">
        <v>143</v>
      </c>
      <c r="N43" s="116">
        <f>Tabelle1!N36</f>
        <v>18.2</v>
      </c>
      <c r="O43" s="57" t="s">
        <v>143</v>
      </c>
    </row>
    <row r="44" spans="1:15" x14ac:dyDescent="0.15">
      <c r="A44" s="23" t="s">
        <v>41</v>
      </c>
      <c r="B44" s="24" t="s">
        <v>89</v>
      </c>
      <c r="C44" s="24" t="s">
        <v>110</v>
      </c>
      <c r="D44" s="85">
        <v>1</v>
      </c>
      <c r="E44" s="86" t="s">
        <v>135</v>
      </c>
      <c r="F44" s="116">
        <f>Tabelle1!F37</f>
        <v>16.8</v>
      </c>
      <c r="G44" s="57" t="s">
        <v>143</v>
      </c>
      <c r="H44" s="116">
        <f>Tabelle1!H37</f>
        <v>19.899999999999999</v>
      </c>
      <c r="I44" s="57" t="s">
        <v>143</v>
      </c>
      <c r="J44" s="76" t="s">
        <v>163</v>
      </c>
      <c r="K44" s="57" t="s">
        <v>143</v>
      </c>
      <c r="L44" s="25">
        <v>19.75</v>
      </c>
      <c r="M44" s="57" t="s">
        <v>143</v>
      </c>
      <c r="N44" s="116" t="str">
        <f>Tabelle1!N37</f>
        <v>k. Angebot</v>
      </c>
      <c r="O44" s="57" t="s">
        <v>143</v>
      </c>
    </row>
    <row r="45" spans="1:15" x14ac:dyDescent="0.15">
      <c r="A45" s="23" t="s">
        <v>42</v>
      </c>
      <c r="B45" s="24" t="s">
        <v>89</v>
      </c>
      <c r="C45" s="24" t="s">
        <v>111</v>
      </c>
      <c r="D45" s="85">
        <v>1</v>
      </c>
      <c r="E45" s="86" t="s">
        <v>135</v>
      </c>
      <c r="F45" s="116" t="str">
        <f>Tabelle1!F38</f>
        <v>k. Angebot</v>
      </c>
      <c r="G45" s="57" t="s">
        <v>143</v>
      </c>
      <c r="H45" s="116">
        <f>Tabelle1!H38</f>
        <v>21.9</v>
      </c>
      <c r="I45" s="57" t="s">
        <v>143</v>
      </c>
      <c r="J45" s="76" t="s">
        <v>163</v>
      </c>
      <c r="K45" s="57" t="s">
        <v>143</v>
      </c>
      <c r="L45" s="25">
        <v>23.6</v>
      </c>
      <c r="M45" s="57" t="s">
        <v>143</v>
      </c>
      <c r="N45" s="116" t="str">
        <f>Tabelle1!N38</f>
        <v>k. Angebot</v>
      </c>
      <c r="O45" s="57" t="s">
        <v>143</v>
      </c>
    </row>
    <row r="46" spans="1:15" x14ac:dyDescent="0.15">
      <c r="A46" s="28" t="s">
        <v>32</v>
      </c>
      <c r="B46" s="29"/>
      <c r="C46" s="29" t="s">
        <v>102</v>
      </c>
      <c r="D46" s="91"/>
      <c r="E46" s="92"/>
      <c r="F46" s="30"/>
      <c r="G46" s="58">
        <f>SUM(G32:G45)</f>
        <v>97530.68</v>
      </c>
      <c r="H46" s="30"/>
      <c r="I46" s="58">
        <f>SUM(I32:I45)</f>
        <v>107272.09</v>
      </c>
      <c r="J46" s="31"/>
      <c r="K46" s="58">
        <f>SUM(K32:K45)</f>
        <v>85560</v>
      </c>
      <c r="L46" s="30"/>
      <c r="M46" s="58">
        <f>SUM(M32:M45)</f>
        <v>100730.25</v>
      </c>
      <c r="N46" s="30"/>
      <c r="O46" s="58">
        <f>SUM(O32:O45)</f>
        <v>98558.2</v>
      </c>
    </row>
    <row r="47" spans="1:15" x14ac:dyDescent="0.15">
      <c r="A47" s="23"/>
      <c r="B47" s="24"/>
      <c r="C47" s="24"/>
      <c r="D47" s="85"/>
      <c r="E47" s="86"/>
      <c r="F47" s="25"/>
      <c r="G47" s="57"/>
      <c r="H47" s="25"/>
      <c r="I47" s="57"/>
      <c r="J47" s="26"/>
      <c r="K47" s="57"/>
      <c r="L47" s="25"/>
      <c r="M47" s="57"/>
      <c r="N47" s="25"/>
      <c r="O47" s="57"/>
    </row>
    <row r="48" spans="1:15" x14ac:dyDescent="0.15">
      <c r="A48" s="23" t="s">
        <v>44</v>
      </c>
      <c r="B48" s="24"/>
      <c r="C48" s="24" t="s">
        <v>113</v>
      </c>
      <c r="D48" s="85">
        <v>55</v>
      </c>
      <c r="E48" s="86" t="s">
        <v>135</v>
      </c>
      <c r="F48" s="116">
        <f>Tabelle1!F41</f>
        <v>5.6</v>
      </c>
      <c r="G48" s="57">
        <f t="shared" ref="G48:G49" si="0">$D48*F48</f>
        <v>308</v>
      </c>
      <c r="H48" s="116">
        <f>Tabelle1!H41</f>
        <v>7.75</v>
      </c>
      <c r="I48" s="57">
        <f t="shared" ref="I48:K50" si="1">$D48*H48</f>
        <v>426.25</v>
      </c>
      <c r="J48" s="26">
        <v>6.8</v>
      </c>
      <c r="K48" s="57">
        <f t="shared" si="1"/>
        <v>374</v>
      </c>
      <c r="L48" s="25">
        <v>5.65</v>
      </c>
      <c r="M48" s="57">
        <f t="shared" ref="M48:M54" si="2">$D48*L48</f>
        <v>310.75</v>
      </c>
      <c r="N48" s="130">
        <f>Tabelle1!N41</f>
        <v>5.0999999999999996</v>
      </c>
      <c r="O48" s="57">
        <f t="shared" ref="O48:O49" si="3">$D48*N48</f>
        <v>280.5</v>
      </c>
    </row>
    <row r="49" spans="1:16" x14ac:dyDescent="0.15">
      <c r="A49" s="104" t="s">
        <v>45</v>
      </c>
      <c r="B49" s="105"/>
      <c r="C49" s="105" t="s">
        <v>114</v>
      </c>
      <c r="D49" s="106">
        <v>81</v>
      </c>
      <c r="E49" s="107" t="s">
        <v>135</v>
      </c>
      <c r="F49" s="142">
        <f>Tabelle1!F42</f>
        <v>5.6</v>
      </c>
      <c r="G49" s="122">
        <f t="shared" si="0"/>
        <v>453.59999999999997</v>
      </c>
      <c r="H49" s="142">
        <f>Tabelle1!H42</f>
        <v>7.75</v>
      </c>
      <c r="I49" s="122">
        <f t="shared" si="1"/>
        <v>627.75</v>
      </c>
      <c r="J49" s="76">
        <v>6.8</v>
      </c>
      <c r="K49" s="122">
        <f t="shared" si="1"/>
        <v>550.79999999999995</v>
      </c>
      <c r="L49" s="70">
        <v>5.65</v>
      </c>
      <c r="M49" s="122">
        <f t="shared" si="2"/>
        <v>457.65000000000003</v>
      </c>
      <c r="N49" s="142">
        <f>Tabelle1!N42</f>
        <v>5.0999999999999996</v>
      </c>
      <c r="O49" s="122">
        <f t="shared" si="3"/>
        <v>413.09999999999997</v>
      </c>
      <c r="P49" s="109" t="s">
        <v>218</v>
      </c>
    </row>
    <row r="50" spans="1:16" x14ac:dyDescent="0.15">
      <c r="A50" s="23" t="s">
        <v>46</v>
      </c>
      <c r="B50" s="24"/>
      <c r="C50" s="24" t="s">
        <v>115</v>
      </c>
      <c r="D50" s="85">
        <v>186</v>
      </c>
      <c r="E50" s="86" t="s">
        <v>135</v>
      </c>
      <c r="F50" s="116" t="str">
        <f>Tabelle1!F43</f>
        <v>k. Angebot</v>
      </c>
      <c r="G50" s="57"/>
      <c r="H50" s="116">
        <f>Tabelle1!H43</f>
        <v>1.95</v>
      </c>
      <c r="I50" s="57">
        <f t="shared" si="1"/>
        <v>362.7</v>
      </c>
      <c r="J50" s="26">
        <v>6.8</v>
      </c>
      <c r="K50" s="57">
        <f t="shared" si="1"/>
        <v>1264.8</v>
      </c>
      <c r="L50" s="117">
        <v>1</v>
      </c>
      <c r="M50" s="57">
        <f t="shared" si="2"/>
        <v>186</v>
      </c>
      <c r="N50" s="130" t="str">
        <f>Tabelle1!N43</f>
        <v>bauseits</v>
      </c>
      <c r="O50" s="122"/>
    </row>
    <row r="51" spans="1:16" x14ac:dyDescent="0.15">
      <c r="A51" s="23" t="s">
        <v>47</v>
      </c>
      <c r="B51" s="24"/>
      <c r="C51" s="24" t="s">
        <v>116</v>
      </c>
      <c r="D51" s="85">
        <v>73</v>
      </c>
      <c r="E51" s="86" t="s">
        <v>135</v>
      </c>
      <c r="F51" s="116">
        <f>Tabelle1!F44</f>
        <v>52.85</v>
      </c>
      <c r="G51" s="127" t="s">
        <v>143</v>
      </c>
      <c r="H51" s="116">
        <f>Tabelle1!H44</f>
        <v>53.25</v>
      </c>
      <c r="I51" s="127" t="s">
        <v>143</v>
      </c>
      <c r="J51" s="26">
        <v>67</v>
      </c>
      <c r="K51" s="127" t="s">
        <v>143</v>
      </c>
      <c r="L51" s="25">
        <v>56.45</v>
      </c>
      <c r="M51" s="57">
        <f t="shared" si="2"/>
        <v>4120.8500000000004</v>
      </c>
      <c r="N51" s="130">
        <f>Tabelle1!N44</f>
        <v>58.5</v>
      </c>
      <c r="O51" s="127" t="s">
        <v>143</v>
      </c>
    </row>
    <row r="52" spans="1:16" x14ac:dyDescent="0.15">
      <c r="A52" s="23" t="s">
        <v>48</v>
      </c>
      <c r="B52" s="24"/>
      <c r="C52" s="24" t="s">
        <v>117</v>
      </c>
      <c r="D52" s="85">
        <v>8</v>
      </c>
      <c r="E52" s="86" t="s">
        <v>135</v>
      </c>
      <c r="F52" s="116">
        <f>Tabelle1!F45</f>
        <v>52.85</v>
      </c>
      <c r="G52" s="127" t="s">
        <v>143</v>
      </c>
      <c r="H52" s="116">
        <f>Tabelle1!H45</f>
        <v>53.25</v>
      </c>
      <c r="I52" s="127" t="s">
        <v>143</v>
      </c>
      <c r="J52" s="26">
        <v>67</v>
      </c>
      <c r="K52" s="127" t="s">
        <v>143</v>
      </c>
      <c r="L52" s="25">
        <v>56.45</v>
      </c>
      <c r="M52" s="57">
        <f t="shared" si="2"/>
        <v>451.6</v>
      </c>
      <c r="N52" s="130">
        <f>Tabelle1!N45</f>
        <v>58.5</v>
      </c>
      <c r="O52" s="127" t="s">
        <v>143</v>
      </c>
    </row>
    <row r="53" spans="1:16" x14ac:dyDescent="0.15">
      <c r="A53" s="23" t="s">
        <v>49</v>
      </c>
      <c r="B53" s="24"/>
      <c r="C53" s="24" t="s">
        <v>118</v>
      </c>
      <c r="D53" s="85">
        <v>186</v>
      </c>
      <c r="E53" s="86" t="s">
        <v>135</v>
      </c>
      <c r="F53" s="116">
        <f>Tabelle1!F46</f>
        <v>74</v>
      </c>
      <c r="G53" s="127" t="s">
        <v>184</v>
      </c>
      <c r="H53" s="116">
        <f>Tabelle1!H46</f>
        <v>97.42</v>
      </c>
      <c r="I53" s="127" t="s">
        <v>184</v>
      </c>
      <c r="J53" s="26">
        <v>78</v>
      </c>
      <c r="K53" s="127" t="s">
        <v>184</v>
      </c>
      <c r="L53" s="25">
        <v>63.05</v>
      </c>
      <c r="M53" s="57">
        <f t="shared" si="2"/>
        <v>11727.3</v>
      </c>
      <c r="N53" s="130" t="str">
        <f>Tabelle1!N46</f>
        <v>bauseits</v>
      </c>
      <c r="O53" s="122"/>
    </row>
    <row r="54" spans="1:16" x14ac:dyDescent="0.15">
      <c r="A54" s="23" t="s">
        <v>50</v>
      </c>
      <c r="B54" s="24"/>
      <c r="C54" s="24" t="s">
        <v>119</v>
      </c>
      <c r="D54" s="85">
        <v>55</v>
      </c>
      <c r="E54" s="86" t="s">
        <v>135</v>
      </c>
      <c r="F54" s="116">
        <f>Tabelle1!F47</f>
        <v>74</v>
      </c>
      <c r="G54" s="127" t="s">
        <v>184</v>
      </c>
      <c r="H54" s="116">
        <f>Tabelle1!H47</f>
        <v>97.42</v>
      </c>
      <c r="I54" s="127" t="s">
        <v>184</v>
      </c>
      <c r="J54" s="26">
        <v>78</v>
      </c>
      <c r="K54" s="127" t="s">
        <v>184</v>
      </c>
      <c r="L54" s="25">
        <v>79.599999999999994</v>
      </c>
      <c r="M54" s="57">
        <f t="shared" si="2"/>
        <v>4378</v>
      </c>
      <c r="N54" s="130">
        <f>Tabelle1!N47</f>
        <v>72.400000000000006</v>
      </c>
      <c r="O54" s="127" t="s">
        <v>184</v>
      </c>
    </row>
    <row r="55" spans="1:16" x14ac:dyDescent="0.15">
      <c r="A55" s="23" t="s">
        <v>51</v>
      </c>
      <c r="B55" s="24" t="s">
        <v>89</v>
      </c>
      <c r="C55" s="24" t="s">
        <v>120</v>
      </c>
      <c r="D55" s="85">
        <v>1</v>
      </c>
      <c r="E55" s="86" t="s">
        <v>135</v>
      </c>
      <c r="F55" s="116" t="str">
        <f>Tabelle1!F48</f>
        <v xml:space="preserve">nicht möglich </v>
      </c>
      <c r="G55" s="57"/>
      <c r="H55" s="116">
        <f>Tabelle1!H48</f>
        <v>41.75</v>
      </c>
      <c r="I55" s="57" t="s">
        <v>143</v>
      </c>
      <c r="J55" s="76" t="s">
        <v>163</v>
      </c>
      <c r="K55" s="57" t="s">
        <v>143</v>
      </c>
      <c r="L55" s="117">
        <v>27.85</v>
      </c>
      <c r="M55" s="57" t="s">
        <v>143</v>
      </c>
      <c r="N55" s="116" t="str">
        <f>Tabelle1!N48</f>
        <v>k. Angebot</v>
      </c>
      <c r="O55" s="57" t="s">
        <v>143</v>
      </c>
    </row>
    <row r="56" spans="1:16" x14ac:dyDescent="0.15">
      <c r="A56" s="23" t="s">
        <v>52</v>
      </c>
      <c r="B56" s="24"/>
      <c r="C56" s="24" t="s">
        <v>121</v>
      </c>
      <c r="D56" s="85">
        <v>489</v>
      </c>
      <c r="E56" s="86" t="s">
        <v>137</v>
      </c>
      <c r="F56" s="116">
        <f>Tabelle1!F49</f>
        <v>12.8</v>
      </c>
      <c r="G56" s="127" t="s">
        <v>143</v>
      </c>
      <c r="H56" s="116">
        <f>Tabelle1!H49</f>
        <v>7.9</v>
      </c>
      <c r="I56" s="127" t="s">
        <v>143</v>
      </c>
      <c r="J56" s="26">
        <v>12.9</v>
      </c>
      <c r="K56" s="127" t="s">
        <v>143</v>
      </c>
      <c r="L56" s="25">
        <v>11.85</v>
      </c>
      <c r="M56" s="57">
        <f>$D56*L56</f>
        <v>5794.65</v>
      </c>
      <c r="N56" s="116">
        <f>Tabelle1!N49</f>
        <v>13.9</v>
      </c>
      <c r="O56" s="127" t="s">
        <v>143</v>
      </c>
    </row>
    <row r="57" spans="1:16" ht="15.5" customHeight="1" x14ac:dyDescent="0.15">
      <c r="A57" s="124" t="s">
        <v>180</v>
      </c>
      <c r="B57" s="66"/>
      <c r="C57" s="125" t="s">
        <v>178</v>
      </c>
      <c r="D57" s="87">
        <v>489</v>
      </c>
      <c r="E57" s="126" t="s">
        <v>137</v>
      </c>
      <c r="F57" s="67">
        <v>9.2799999999999994</v>
      </c>
      <c r="G57" s="68">
        <f>$D57*F57</f>
        <v>4537.92</v>
      </c>
      <c r="H57" s="67">
        <v>8.3000000000000007</v>
      </c>
      <c r="I57" s="68">
        <f>$D57*H57</f>
        <v>4058.7000000000003</v>
      </c>
      <c r="J57" s="26"/>
      <c r="K57" s="68">
        <f>$D57*J57</f>
        <v>0</v>
      </c>
      <c r="L57" s="25"/>
      <c r="M57" s="57"/>
      <c r="N57" s="67">
        <v>6.95</v>
      </c>
      <c r="O57" s="68">
        <f>$D57*N57</f>
        <v>3398.55</v>
      </c>
    </row>
    <row r="58" spans="1:16" ht="15.5" customHeight="1" x14ac:dyDescent="0.15">
      <c r="A58" s="23"/>
      <c r="B58" s="24"/>
      <c r="C58" s="138" t="s">
        <v>191</v>
      </c>
      <c r="D58" s="134">
        <v>489</v>
      </c>
      <c r="E58" s="135" t="s">
        <v>137</v>
      </c>
      <c r="F58" s="116"/>
      <c r="G58" s="57"/>
      <c r="H58" s="116"/>
      <c r="I58" s="127"/>
      <c r="J58" s="26"/>
      <c r="K58" s="127"/>
      <c r="L58" s="25"/>
      <c r="M58" s="57"/>
      <c r="N58" s="136">
        <v>7.35</v>
      </c>
      <c r="O58" s="137" t="s">
        <v>143</v>
      </c>
    </row>
    <row r="59" spans="1:16" ht="15.5" customHeight="1" x14ac:dyDescent="0.15">
      <c r="A59" s="23"/>
      <c r="B59" s="24"/>
      <c r="C59" s="73" t="s">
        <v>213</v>
      </c>
      <c r="D59" s="89">
        <v>1</v>
      </c>
      <c r="E59" s="90" t="s">
        <v>137</v>
      </c>
      <c r="F59" s="74">
        <v>5.88</v>
      </c>
      <c r="G59" s="129" t="s">
        <v>143</v>
      </c>
      <c r="H59" s="116"/>
      <c r="I59" s="127"/>
      <c r="J59" s="26"/>
      <c r="K59" s="127"/>
      <c r="L59" s="25"/>
      <c r="M59" s="57"/>
      <c r="N59" s="116"/>
      <c r="O59" s="57"/>
    </row>
    <row r="60" spans="1:16" x14ac:dyDescent="0.15">
      <c r="A60" s="28" t="s">
        <v>43</v>
      </c>
      <c r="B60" s="29"/>
      <c r="C60" s="29" t="s">
        <v>112</v>
      </c>
      <c r="D60" s="91"/>
      <c r="E60" s="92"/>
      <c r="F60" s="30"/>
      <c r="G60" s="58">
        <f>SUM(G48:G57)</f>
        <v>5299.52</v>
      </c>
      <c r="H60" s="30"/>
      <c r="I60" s="58">
        <f>SUM(I48:I57)</f>
        <v>5475.4000000000005</v>
      </c>
      <c r="J60" s="31"/>
      <c r="K60" s="58">
        <f>SUM(K48:K57)</f>
        <v>2189.6</v>
      </c>
      <c r="L60" s="30"/>
      <c r="M60" s="58">
        <f>SUM(M48:M56)</f>
        <v>27426.800000000003</v>
      </c>
      <c r="N60" s="30"/>
      <c r="O60" s="58">
        <f>SUM(O48:O58)</f>
        <v>4092.15</v>
      </c>
    </row>
    <row r="61" spans="1:16" x14ac:dyDescent="0.15">
      <c r="A61" s="23"/>
      <c r="B61" s="24"/>
      <c r="C61" s="24"/>
      <c r="D61" s="85"/>
      <c r="E61" s="86"/>
      <c r="F61" s="25"/>
      <c r="G61" s="57"/>
      <c r="H61" s="25"/>
      <c r="I61" s="57"/>
      <c r="J61" s="26"/>
      <c r="K61" s="57"/>
      <c r="L61" s="25"/>
      <c r="M61" s="57"/>
      <c r="N61" s="25"/>
      <c r="O61" s="57"/>
    </row>
    <row r="62" spans="1:16" x14ac:dyDescent="0.15">
      <c r="A62" s="23" t="s">
        <v>54</v>
      </c>
      <c r="B62" s="24" t="s">
        <v>89</v>
      </c>
      <c r="C62" s="24" t="s">
        <v>123</v>
      </c>
      <c r="D62" s="85">
        <v>1</v>
      </c>
      <c r="E62" s="86" t="s">
        <v>137</v>
      </c>
      <c r="F62" s="116">
        <f>Tabelle1!F52</f>
        <v>12.8</v>
      </c>
      <c r="G62" s="57" t="s">
        <v>143</v>
      </c>
      <c r="H62" s="116">
        <f>Tabelle1!H52</f>
        <v>16.899999999999999</v>
      </c>
      <c r="I62" s="57" t="s">
        <v>143</v>
      </c>
      <c r="J62" s="26">
        <v>24</v>
      </c>
      <c r="K62" s="57" t="s">
        <v>143</v>
      </c>
      <c r="L62" s="117">
        <v>8.85</v>
      </c>
      <c r="M62" s="57" t="s">
        <v>143</v>
      </c>
      <c r="N62" s="116">
        <f>Tabelle1!N52</f>
        <v>14.35</v>
      </c>
      <c r="O62" s="57" t="s">
        <v>143</v>
      </c>
    </row>
    <row r="63" spans="1:16" x14ac:dyDescent="0.15">
      <c r="A63" s="23" t="s">
        <v>55</v>
      </c>
      <c r="B63" s="24" t="s">
        <v>89</v>
      </c>
      <c r="C63" s="24" t="s">
        <v>124</v>
      </c>
      <c r="D63" s="85">
        <v>1</v>
      </c>
      <c r="E63" s="86" t="s">
        <v>137</v>
      </c>
      <c r="F63" s="116">
        <f>Tabelle1!F53</f>
        <v>7.95</v>
      </c>
      <c r="G63" s="57" t="s">
        <v>143</v>
      </c>
      <c r="H63" s="116">
        <f>Tabelle1!H53</f>
        <v>9.9</v>
      </c>
      <c r="I63" s="57" t="s">
        <v>143</v>
      </c>
      <c r="J63" s="26">
        <v>9</v>
      </c>
      <c r="K63" s="57" t="s">
        <v>143</v>
      </c>
      <c r="L63" s="25">
        <v>7.9</v>
      </c>
      <c r="M63" s="57" t="s">
        <v>143</v>
      </c>
      <c r="N63" s="116">
        <f>Tabelle1!N53</f>
        <v>9</v>
      </c>
      <c r="O63" s="57" t="s">
        <v>143</v>
      </c>
    </row>
    <row r="64" spans="1:16" x14ac:dyDescent="0.15">
      <c r="A64" s="23" t="s">
        <v>56</v>
      </c>
      <c r="B64" s="24" t="s">
        <v>89</v>
      </c>
      <c r="C64" s="24" t="s">
        <v>125</v>
      </c>
      <c r="D64" s="85">
        <v>1</v>
      </c>
      <c r="E64" s="86" t="s">
        <v>137</v>
      </c>
      <c r="F64" s="116">
        <f>Tabelle1!F54</f>
        <v>7.95</v>
      </c>
      <c r="G64" s="57" t="s">
        <v>143</v>
      </c>
      <c r="H64" s="116">
        <f>Tabelle1!H54</f>
        <v>9.9</v>
      </c>
      <c r="I64" s="57" t="s">
        <v>143</v>
      </c>
      <c r="J64" s="26">
        <v>12</v>
      </c>
      <c r="K64" s="57" t="s">
        <v>143</v>
      </c>
      <c r="L64" s="25">
        <v>7.9</v>
      </c>
      <c r="M64" s="57" t="s">
        <v>143</v>
      </c>
      <c r="N64" s="116">
        <f>Tabelle1!N54</f>
        <v>9</v>
      </c>
      <c r="O64" s="57" t="s">
        <v>143</v>
      </c>
    </row>
    <row r="65" spans="1:15 16373:16374" x14ac:dyDescent="0.15">
      <c r="A65" s="23" t="s">
        <v>57</v>
      </c>
      <c r="B65" s="24" t="s">
        <v>89</v>
      </c>
      <c r="C65" s="24" t="s">
        <v>126</v>
      </c>
      <c r="D65" s="85">
        <v>1</v>
      </c>
      <c r="E65" s="86" t="s">
        <v>136</v>
      </c>
      <c r="F65" s="116">
        <f>Tabelle1!F55</f>
        <v>12.8</v>
      </c>
      <c r="G65" s="57" t="s">
        <v>143</v>
      </c>
      <c r="H65" s="116">
        <f>Tabelle1!H55</f>
        <v>42.5</v>
      </c>
      <c r="I65" s="57" t="s">
        <v>143</v>
      </c>
      <c r="J65" s="26">
        <v>30</v>
      </c>
      <c r="K65" s="57" t="s">
        <v>143</v>
      </c>
      <c r="L65" s="25">
        <v>18.149999999999999</v>
      </c>
      <c r="M65" s="57" t="s">
        <v>143</v>
      </c>
      <c r="N65" s="116">
        <f>Tabelle1!N55</f>
        <v>35</v>
      </c>
      <c r="O65" s="57" t="s">
        <v>143</v>
      </c>
    </row>
    <row r="66" spans="1:15 16373:16374" x14ac:dyDescent="0.15">
      <c r="A66" s="23" t="s">
        <v>58</v>
      </c>
      <c r="B66" s="24" t="s">
        <v>89</v>
      </c>
      <c r="C66" s="24" t="s">
        <v>127</v>
      </c>
      <c r="D66" s="85">
        <v>1</v>
      </c>
      <c r="E66" s="86" t="s">
        <v>135</v>
      </c>
      <c r="F66" s="116">
        <f>Tabelle1!F56</f>
        <v>14.15</v>
      </c>
      <c r="G66" s="57" t="s">
        <v>143</v>
      </c>
      <c r="H66" s="116">
        <f>Tabelle1!H56</f>
        <v>8.9</v>
      </c>
      <c r="I66" s="57" t="s">
        <v>143</v>
      </c>
      <c r="J66" s="76" t="s">
        <v>163</v>
      </c>
      <c r="K66" s="57" t="s">
        <v>143</v>
      </c>
      <c r="L66" s="25">
        <v>13.95</v>
      </c>
      <c r="M66" s="57" t="s">
        <v>143</v>
      </c>
      <c r="N66" s="116">
        <f>Tabelle1!N56</f>
        <v>18.2</v>
      </c>
      <c r="O66" s="57" t="s">
        <v>143</v>
      </c>
    </row>
    <row r="67" spans="1:15 16373:16374" ht="15" x14ac:dyDescent="0.2">
      <c r="A67" s="23" t="s">
        <v>59</v>
      </c>
      <c r="B67" s="24" t="s">
        <v>89</v>
      </c>
      <c r="C67" s="143" t="s">
        <v>219</v>
      </c>
      <c r="D67" s="85">
        <v>1</v>
      </c>
      <c r="E67" s="86" t="s">
        <v>135</v>
      </c>
      <c r="F67" s="116"/>
      <c r="G67" s="57"/>
      <c r="H67" s="142">
        <f>Tabelle1!H57</f>
        <v>4.9000000000000004</v>
      </c>
      <c r="I67" s="57" t="s">
        <v>143</v>
      </c>
      <c r="J67" s="26"/>
      <c r="K67" s="57"/>
      <c r="L67" s="25">
        <v>3.05</v>
      </c>
      <c r="M67" s="57" t="s">
        <v>143</v>
      </c>
      <c r="N67" s="116"/>
      <c r="O67" s="57"/>
      <c r="XES67"/>
      <c r="XET67"/>
    </row>
    <row r="68" spans="1:15 16373:16374" ht="15" x14ac:dyDescent="0.2">
      <c r="A68" s="23" t="s">
        <v>59</v>
      </c>
      <c r="B68" s="24" t="s">
        <v>89</v>
      </c>
      <c r="C68" s="143" t="s">
        <v>217</v>
      </c>
      <c r="D68" s="85">
        <v>1</v>
      </c>
      <c r="E68" s="86" t="s">
        <v>135</v>
      </c>
      <c r="F68" s="116">
        <v>2.35</v>
      </c>
      <c r="G68" s="57" t="s">
        <v>143</v>
      </c>
      <c r="H68" s="142"/>
      <c r="I68" s="57"/>
      <c r="J68" s="26">
        <v>2.7</v>
      </c>
      <c r="K68" s="57" t="s">
        <v>143</v>
      </c>
      <c r="L68" s="25">
        <v>3.05</v>
      </c>
      <c r="M68" s="57" t="s">
        <v>143</v>
      </c>
      <c r="N68" s="116">
        <v>2.2000000000000002</v>
      </c>
      <c r="O68" s="57" t="s">
        <v>143</v>
      </c>
      <c r="XES68"/>
      <c r="XET68"/>
    </row>
    <row r="69" spans="1:15 16373:16374" ht="15" x14ac:dyDescent="0.2">
      <c r="A69" s="140" t="s">
        <v>193</v>
      </c>
      <c r="B69" s="66"/>
      <c r="C69" s="125" t="s">
        <v>188</v>
      </c>
      <c r="D69" s="87">
        <v>1</v>
      </c>
      <c r="E69" s="126" t="s">
        <v>189</v>
      </c>
      <c r="F69" s="67"/>
      <c r="G69" s="128" t="s">
        <v>143</v>
      </c>
      <c r="H69" s="67">
        <v>3.9</v>
      </c>
      <c r="I69" s="128" t="s">
        <v>143</v>
      </c>
      <c r="J69" s="67"/>
      <c r="K69" s="128" t="s">
        <v>143</v>
      </c>
      <c r="L69" s="25"/>
      <c r="M69" s="57"/>
      <c r="N69" s="67">
        <v>4.2</v>
      </c>
      <c r="O69" s="128" t="s">
        <v>143</v>
      </c>
      <c r="XES69"/>
      <c r="XET69"/>
    </row>
    <row r="70" spans="1:15 16373:16374" ht="15" x14ac:dyDescent="0.2">
      <c r="A70" s="140" t="s">
        <v>194</v>
      </c>
      <c r="B70" s="66"/>
      <c r="C70" s="125" t="s">
        <v>190</v>
      </c>
      <c r="D70" s="87">
        <v>1</v>
      </c>
      <c r="E70" s="126" t="s">
        <v>189</v>
      </c>
      <c r="F70" s="67"/>
      <c r="G70" s="128" t="s">
        <v>143</v>
      </c>
      <c r="H70" s="67">
        <v>5</v>
      </c>
      <c r="I70" s="128" t="s">
        <v>143</v>
      </c>
      <c r="J70" s="67"/>
      <c r="K70" s="128" t="s">
        <v>143</v>
      </c>
      <c r="L70" s="25"/>
      <c r="M70" s="57"/>
      <c r="N70" s="67">
        <v>6.5</v>
      </c>
      <c r="O70" s="128" t="s">
        <v>143</v>
      </c>
      <c r="XES70"/>
      <c r="XET70"/>
    </row>
    <row r="71" spans="1:15 16373:16374" ht="15" x14ac:dyDescent="0.2">
      <c r="A71" s="140" t="s">
        <v>195</v>
      </c>
      <c r="B71" s="66"/>
      <c r="C71" s="131" t="s">
        <v>192</v>
      </c>
      <c r="D71" s="87">
        <v>1</v>
      </c>
      <c r="E71" s="139" t="s">
        <v>189</v>
      </c>
      <c r="F71" s="67"/>
      <c r="G71" s="128" t="s">
        <v>143</v>
      </c>
      <c r="H71" s="67"/>
      <c r="I71" s="128" t="s">
        <v>143</v>
      </c>
      <c r="J71" s="67"/>
      <c r="K71" s="132" t="s">
        <v>143</v>
      </c>
      <c r="L71" s="25"/>
      <c r="M71" s="57"/>
      <c r="N71" s="67">
        <v>3.3</v>
      </c>
      <c r="O71" s="128" t="s">
        <v>143</v>
      </c>
      <c r="XES71"/>
      <c r="XET71"/>
    </row>
    <row r="72" spans="1:15 16373:16374" ht="15" x14ac:dyDescent="0.2">
      <c r="A72" s="140" t="s">
        <v>196</v>
      </c>
      <c r="B72" s="66"/>
      <c r="C72" s="131" t="s">
        <v>197</v>
      </c>
      <c r="D72" s="87">
        <v>1</v>
      </c>
      <c r="E72" s="139" t="s">
        <v>189</v>
      </c>
      <c r="F72" s="67">
        <v>3.55</v>
      </c>
      <c r="G72" s="128" t="s">
        <v>143</v>
      </c>
      <c r="H72" s="67">
        <v>3.9</v>
      </c>
      <c r="I72" s="128" t="s">
        <v>143</v>
      </c>
      <c r="J72" s="67"/>
      <c r="K72" s="132" t="s">
        <v>143</v>
      </c>
      <c r="L72" s="25"/>
      <c r="M72" s="57"/>
      <c r="N72" s="67">
        <v>4.2</v>
      </c>
      <c r="O72" s="128" t="s">
        <v>143</v>
      </c>
      <c r="XES72"/>
      <c r="XET72"/>
    </row>
    <row r="73" spans="1:15 16373:16374" ht="15" x14ac:dyDescent="0.2">
      <c r="A73" s="140" t="s">
        <v>198</v>
      </c>
      <c r="B73" s="66"/>
      <c r="C73" s="131" t="s">
        <v>206</v>
      </c>
      <c r="D73" s="87">
        <v>100</v>
      </c>
      <c r="E73" s="139" t="s">
        <v>186</v>
      </c>
      <c r="F73" s="67">
        <v>28.8</v>
      </c>
      <c r="G73" s="128" t="s">
        <v>143</v>
      </c>
      <c r="H73" s="67">
        <v>28.98</v>
      </c>
      <c r="I73" s="128" t="s">
        <v>143</v>
      </c>
      <c r="J73" s="67"/>
      <c r="K73" s="132" t="s">
        <v>143</v>
      </c>
      <c r="L73" s="25"/>
      <c r="M73" s="57"/>
      <c r="N73" s="67">
        <v>29.25</v>
      </c>
      <c r="O73" s="128" t="s">
        <v>143</v>
      </c>
      <c r="XES73"/>
      <c r="XET73"/>
    </row>
    <row r="74" spans="1:15 16373:16374" ht="15" x14ac:dyDescent="0.2">
      <c r="A74" s="140" t="s">
        <v>199</v>
      </c>
      <c r="B74" s="66"/>
      <c r="C74" s="131" t="s">
        <v>211</v>
      </c>
      <c r="D74" s="87">
        <v>50</v>
      </c>
      <c r="E74" s="139" t="s">
        <v>186</v>
      </c>
      <c r="F74" s="67">
        <v>41.25</v>
      </c>
      <c r="G74" s="128" t="s">
        <v>143</v>
      </c>
      <c r="H74" s="67">
        <v>41.94</v>
      </c>
      <c r="I74" s="128" t="s">
        <v>143</v>
      </c>
      <c r="J74" s="67"/>
      <c r="K74" s="132" t="s">
        <v>143</v>
      </c>
      <c r="L74" s="25"/>
      <c r="M74" s="57"/>
      <c r="N74" s="67">
        <v>42.35</v>
      </c>
      <c r="O74" s="128" t="s">
        <v>143</v>
      </c>
      <c r="XES74"/>
      <c r="XET74"/>
    </row>
    <row r="75" spans="1:15 16373:16374" ht="15" x14ac:dyDescent="0.2">
      <c r="A75" s="140" t="s">
        <v>200</v>
      </c>
      <c r="B75" s="66"/>
      <c r="C75" s="131" t="s">
        <v>208</v>
      </c>
      <c r="D75" s="87">
        <v>50</v>
      </c>
      <c r="E75" s="139" t="s">
        <v>186</v>
      </c>
      <c r="F75" s="67">
        <v>41.25</v>
      </c>
      <c r="G75" s="128" t="s">
        <v>143</v>
      </c>
      <c r="H75" s="67">
        <v>41.94</v>
      </c>
      <c r="I75" s="128" t="s">
        <v>143</v>
      </c>
      <c r="J75" s="67"/>
      <c r="K75" s="132" t="s">
        <v>143</v>
      </c>
      <c r="L75" s="25"/>
      <c r="M75" s="57"/>
      <c r="N75" s="67">
        <v>42.35</v>
      </c>
      <c r="O75" s="128" t="s">
        <v>143</v>
      </c>
      <c r="XES75"/>
      <c r="XET75"/>
    </row>
    <row r="76" spans="1:15 16373:16374" ht="15" x14ac:dyDescent="0.2">
      <c r="A76" s="140" t="s">
        <v>201</v>
      </c>
      <c r="B76" s="66"/>
      <c r="C76" s="131" t="s">
        <v>212</v>
      </c>
      <c r="D76" s="87">
        <v>50</v>
      </c>
      <c r="E76" s="139" t="s">
        <v>186</v>
      </c>
      <c r="F76" s="67">
        <v>41.25</v>
      </c>
      <c r="G76" s="128" t="s">
        <v>143</v>
      </c>
      <c r="H76" s="67">
        <v>41.94</v>
      </c>
      <c r="I76" s="128" t="s">
        <v>143</v>
      </c>
      <c r="J76" s="67"/>
      <c r="K76" s="132" t="s">
        <v>143</v>
      </c>
      <c r="L76" s="25"/>
      <c r="M76" s="57"/>
      <c r="N76" s="67">
        <v>42.35</v>
      </c>
      <c r="O76" s="128" t="s">
        <v>143</v>
      </c>
      <c r="XES76"/>
      <c r="XET76"/>
    </row>
    <row r="77" spans="1:15 16373:16374" ht="15" x14ac:dyDescent="0.2">
      <c r="A77" s="140" t="s">
        <v>202</v>
      </c>
      <c r="B77" s="66"/>
      <c r="C77" s="131" t="s">
        <v>209</v>
      </c>
      <c r="D77" s="87">
        <v>50</v>
      </c>
      <c r="E77" s="139" t="s">
        <v>186</v>
      </c>
      <c r="F77" s="67">
        <v>41.25</v>
      </c>
      <c r="G77" s="128" t="s">
        <v>143</v>
      </c>
      <c r="H77" s="67">
        <v>41.94</v>
      </c>
      <c r="I77" s="128" t="s">
        <v>143</v>
      </c>
      <c r="J77" s="67"/>
      <c r="K77" s="132" t="s">
        <v>143</v>
      </c>
      <c r="L77" s="25"/>
      <c r="M77" s="57"/>
      <c r="N77" s="67">
        <v>42.35</v>
      </c>
      <c r="O77" s="128" t="s">
        <v>143</v>
      </c>
      <c r="XES77"/>
      <c r="XET77"/>
    </row>
    <row r="78" spans="1:15 16373:16374" ht="15" x14ac:dyDescent="0.2">
      <c r="A78" s="140" t="s">
        <v>203</v>
      </c>
      <c r="B78" s="66"/>
      <c r="C78" s="131" t="s">
        <v>210</v>
      </c>
      <c r="D78" s="87">
        <v>50</v>
      </c>
      <c r="E78" s="139" t="s">
        <v>186</v>
      </c>
      <c r="F78" s="67">
        <v>41.25</v>
      </c>
      <c r="G78" s="128" t="s">
        <v>143</v>
      </c>
      <c r="H78" s="67">
        <v>41.94</v>
      </c>
      <c r="I78" s="128" t="s">
        <v>143</v>
      </c>
      <c r="J78" s="67"/>
      <c r="K78" s="132" t="s">
        <v>143</v>
      </c>
      <c r="L78" s="25"/>
      <c r="M78" s="57"/>
      <c r="N78" s="67">
        <v>42.35</v>
      </c>
      <c r="O78" s="128" t="s">
        <v>143</v>
      </c>
      <c r="XES78"/>
      <c r="XET78"/>
    </row>
    <row r="79" spans="1:15 16373:16374" ht="15" x14ac:dyDescent="0.2">
      <c r="A79" s="140" t="s">
        <v>204</v>
      </c>
      <c r="B79" s="66"/>
      <c r="C79" s="131" t="s">
        <v>207</v>
      </c>
      <c r="D79" s="87">
        <v>50</v>
      </c>
      <c r="E79" s="139" t="s">
        <v>186</v>
      </c>
      <c r="F79" s="67">
        <v>41.25</v>
      </c>
      <c r="G79" s="128" t="s">
        <v>143</v>
      </c>
      <c r="H79" s="67">
        <v>41.94</v>
      </c>
      <c r="I79" s="128" t="s">
        <v>143</v>
      </c>
      <c r="J79" s="67"/>
      <c r="K79" s="132" t="s">
        <v>143</v>
      </c>
      <c r="L79" s="25"/>
      <c r="M79" s="57"/>
      <c r="N79" s="67">
        <v>42.35</v>
      </c>
      <c r="O79" s="128" t="s">
        <v>143</v>
      </c>
      <c r="XES79"/>
      <c r="XET79"/>
    </row>
    <row r="80" spans="1:15 16373:16374" ht="15" x14ac:dyDescent="0.2">
      <c r="A80" s="140" t="s">
        <v>205</v>
      </c>
      <c r="B80" s="66"/>
      <c r="C80" s="131" t="s">
        <v>214</v>
      </c>
      <c r="D80" s="87">
        <v>50</v>
      </c>
      <c r="E80" s="139" t="s">
        <v>186</v>
      </c>
      <c r="F80" s="67">
        <v>29.45</v>
      </c>
      <c r="G80" s="128" t="s">
        <v>143</v>
      </c>
      <c r="H80" s="67">
        <v>34.840000000000003</v>
      </c>
      <c r="I80" s="128" t="s">
        <v>143</v>
      </c>
      <c r="J80" s="69"/>
      <c r="K80" s="132"/>
      <c r="L80" s="25"/>
      <c r="M80" s="57"/>
      <c r="N80" s="67"/>
      <c r="O80" s="128" t="s">
        <v>143</v>
      </c>
      <c r="XES80"/>
      <c r="XET80"/>
    </row>
    <row r="81" spans="1:15 16373:16374" ht="15" x14ac:dyDescent="0.2">
      <c r="A81" s="28" t="s">
        <v>53</v>
      </c>
      <c r="B81" s="29"/>
      <c r="C81" s="29" t="s">
        <v>122</v>
      </c>
      <c r="D81" s="91"/>
      <c r="E81" s="92"/>
      <c r="F81" s="30"/>
      <c r="G81" s="58">
        <f>SUM(G62:G79)</f>
        <v>0</v>
      </c>
      <c r="H81" s="30"/>
      <c r="I81" s="58">
        <f>SUM(I62:I79)</f>
        <v>0</v>
      </c>
      <c r="J81" s="31"/>
      <c r="K81" s="58">
        <f>SUM(K62:K79)</f>
        <v>0</v>
      </c>
      <c r="L81" s="30"/>
      <c r="M81" s="58">
        <f>SUM(M62:M67)</f>
        <v>0</v>
      </c>
      <c r="N81" s="30"/>
      <c r="O81" s="58">
        <f>SUM(O62:O79)</f>
        <v>0</v>
      </c>
      <c r="XES81"/>
      <c r="XET81"/>
    </row>
    <row r="82" spans="1:15 16373:16374" ht="15" x14ac:dyDescent="0.2">
      <c r="A82" s="23"/>
      <c r="B82" s="24"/>
      <c r="C82" s="24"/>
      <c r="D82" s="85"/>
      <c r="E82" s="86"/>
      <c r="F82" s="25"/>
      <c r="G82" s="57"/>
      <c r="H82" s="25"/>
      <c r="I82" s="57"/>
      <c r="J82" s="26"/>
      <c r="K82" s="57"/>
      <c r="L82" s="25"/>
      <c r="M82" s="57"/>
      <c r="N82" s="25"/>
      <c r="O82" s="57"/>
      <c r="XES82"/>
      <c r="XET82"/>
    </row>
    <row r="83" spans="1:15 16373:16374" ht="15" x14ac:dyDescent="0.2">
      <c r="A83" s="65" t="s">
        <v>60</v>
      </c>
      <c r="B83" s="66"/>
      <c r="C83" s="66" t="s">
        <v>129</v>
      </c>
      <c r="D83" s="87"/>
      <c r="E83" s="88"/>
      <c r="F83" s="67"/>
      <c r="G83" s="68"/>
      <c r="H83" s="67"/>
      <c r="I83" s="68"/>
      <c r="J83" s="69"/>
      <c r="K83" s="68"/>
      <c r="L83" s="67"/>
      <c r="M83" s="68"/>
      <c r="N83" s="67"/>
      <c r="O83" s="68"/>
      <c r="XES83"/>
      <c r="XET83"/>
    </row>
    <row r="84" spans="1:15 16373:16374" ht="15" x14ac:dyDescent="0.2">
      <c r="A84" s="23" t="s">
        <v>62</v>
      </c>
      <c r="B84" s="24"/>
      <c r="C84" s="24" t="s">
        <v>92</v>
      </c>
      <c r="D84" s="85">
        <v>10545</v>
      </c>
      <c r="E84" s="86" t="s">
        <v>135</v>
      </c>
      <c r="F84" s="116">
        <f>Tabelle1!F61</f>
        <v>2.8</v>
      </c>
      <c r="G84" s="57">
        <f t="shared" ref="G84:G85" si="4">$D84*F84</f>
        <v>29525.999999999996</v>
      </c>
      <c r="H84" s="116">
        <f>Tabelle1!H61</f>
        <v>2.85</v>
      </c>
      <c r="I84" s="57">
        <f>$D84*H84</f>
        <v>30053.25</v>
      </c>
      <c r="J84" s="26">
        <v>2.44</v>
      </c>
      <c r="K84" s="57">
        <f>$D84*J84</f>
        <v>25729.8</v>
      </c>
      <c r="L84" s="25">
        <v>5.65</v>
      </c>
      <c r="M84" s="57">
        <f t="shared" ref="M84:M85" si="5">$D84*L84</f>
        <v>59579.250000000007</v>
      </c>
      <c r="N84" s="116">
        <v>1.7</v>
      </c>
      <c r="O84" s="57">
        <f t="shared" ref="O84:O85" si="6">$D84*N84</f>
        <v>17926.5</v>
      </c>
      <c r="XES84"/>
      <c r="XET84"/>
    </row>
    <row r="85" spans="1:15 16373:16374" ht="16" x14ac:dyDescent="0.2">
      <c r="A85" s="23" t="s">
        <v>63</v>
      </c>
      <c r="B85" s="24"/>
      <c r="C85" s="120" t="s">
        <v>172</v>
      </c>
      <c r="D85" s="85">
        <v>10545</v>
      </c>
      <c r="E85" s="86" t="s">
        <v>135</v>
      </c>
      <c r="F85" s="116">
        <f>Tabelle1!F62</f>
        <v>35.75</v>
      </c>
      <c r="G85" s="57">
        <f t="shared" si="4"/>
        <v>376983.75</v>
      </c>
      <c r="H85" s="116">
        <f>Tabelle1!H62</f>
        <v>34.840000000000003</v>
      </c>
      <c r="I85" s="57">
        <f>$D85*H85</f>
        <v>367387.80000000005</v>
      </c>
      <c r="J85" s="26">
        <v>37.33</v>
      </c>
      <c r="K85" s="57">
        <f>$D85*J85</f>
        <v>393644.85</v>
      </c>
      <c r="L85" s="25">
        <v>36</v>
      </c>
      <c r="M85" s="57">
        <f t="shared" si="5"/>
        <v>379620</v>
      </c>
      <c r="N85" s="116">
        <v>37.5</v>
      </c>
      <c r="O85" s="57">
        <f t="shared" si="6"/>
        <v>395437.5</v>
      </c>
      <c r="XES85"/>
      <c r="XET85"/>
    </row>
    <row r="86" spans="1:15 16373:16374" ht="31" x14ac:dyDescent="0.2">
      <c r="A86" s="23" t="s">
        <v>64</v>
      </c>
      <c r="B86" s="24" t="s">
        <v>89</v>
      </c>
      <c r="C86" s="27" t="s">
        <v>93</v>
      </c>
      <c r="D86" s="85">
        <v>1</v>
      </c>
      <c r="E86" s="86" t="s">
        <v>135</v>
      </c>
      <c r="F86" s="116">
        <f>Tabelle1!F63</f>
        <v>48.1</v>
      </c>
      <c r="G86" s="57" t="s">
        <v>143</v>
      </c>
      <c r="H86" s="116">
        <f>Tabelle1!H63</f>
        <v>46.75</v>
      </c>
      <c r="I86" s="57" t="s">
        <v>143</v>
      </c>
      <c r="J86" s="26">
        <v>52</v>
      </c>
      <c r="K86" s="57" t="s">
        <v>143</v>
      </c>
      <c r="L86" s="25">
        <v>49.55</v>
      </c>
      <c r="M86" s="57" t="s">
        <v>143</v>
      </c>
      <c r="N86" s="116">
        <v>51.54</v>
      </c>
      <c r="O86" s="57" t="s">
        <v>143</v>
      </c>
      <c r="XES86"/>
      <c r="XET86"/>
    </row>
    <row r="87" spans="1:15 16373:16374" ht="15" x14ac:dyDescent="0.2">
      <c r="A87" s="23" t="s">
        <v>65</v>
      </c>
      <c r="B87" s="24" t="s">
        <v>89</v>
      </c>
      <c r="C87" s="24" t="s">
        <v>94</v>
      </c>
      <c r="D87" s="85">
        <v>1</v>
      </c>
      <c r="E87" s="86" t="s">
        <v>135</v>
      </c>
      <c r="F87" s="116">
        <f>Tabelle1!F64</f>
        <v>5.0999999999999996</v>
      </c>
      <c r="G87" s="57" t="s">
        <v>143</v>
      </c>
      <c r="H87" s="116">
        <f>Tabelle1!H64</f>
        <v>4.25</v>
      </c>
      <c r="I87" s="57" t="s">
        <v>143</v>
      </c>
      <c r="J87" s="76">
        <v>44.44</v>
      </c>
      <c r="K87" s="57" t="s">
        <v>143</v>
      </c>
      <c r="L87" s="25">
        <v>5.05</v>
      </c>
      <c r="M87" s="57" t="s">
        <v>143</v>
      </c>
      <c r="N87" s="116">
        <v>5.3</v>
      </c>
      <c r="O87" s="57" t="s">
        <v>143</v>
      </c>
      <c r="XES87"/>
      <c r="XET87"/>
    </row>
    <row r="88" spans="1:15 16373:16374" ht="15" x14ac:dyDescent="0.2">
      <c r="A88" s="23" t="s">
        <v>66</v>
      </c>
      <c r="B88" s="24" t="s">
        <v>89</v>
      </c>
      <c r="C88" s="24" t="s">
        <v>95</v>
      </c>
      <c r="D88" s="85">
        <v>1</v>
      </c>
      <c r="E88" s="86" t="s">
        <v>135</v>
      </c>
      <c r="F88" s="116">
        <f>Tabelle1!F65</f>
        <v>5.0999999999999996</v>
      </c>
      <c r="G88" s="57" t="s">
        <v>143</v>
      </c>
      <c r="H88" s="116">
        <f>Tabelle1!H65</f>
        <v>4.25</v>
      </c>
      <c r="I88" s="57" t="s">
        <v>143</v>
      </c>
      <c r="J88" s="76">
        <v>55</v>
      </c>
      <c r="K88" s="57" t="s">
        <v>143</v>
      </c>
      <c r="L88" s="25">
        <v>5.05</v>
      </c>
      <c r="M88" s="57" t="s">
        <v>143</v>
      </c>
      <c r="N88" s="116">
        <f>Tabelle1!N65</f>
        <v>5.3</v>
      </c>
      <c r="O88" s="57" t="s">
        <v>143</v>
      </c>
      <c r="XES88"/>
      <c r="XET88"/>
    </row>
    <row r="89" spans="1:15 16373:16374" ht="15" x14ac:dyDescent="0.2">
      <c r="A89" s="65" t="s">
        <v>67</v>
      </c>
      <c r="B89" s="66"/>
      <c r="C89" s="125" t="s">
        <v>185</v>
      </c>
      <c r="D89" s="87">
        <v>700</v>
      </c>
      <c r="E89" s="88" t="s">
        <v>136</v>
      </c>
      <c r="F89" s="116">
        <f>Tabelle1!F66</f>
        <v>5.65</v>
      </c>
      <c r="G89" s="57">
        <f>$D89*F89</f>
        <v>3955.0000000000005</v>
      </c>
      <c r="H89" s="67">
        <v>6.1</v>
      </c>
      <c r="I89" s="68">
        <f>$D89*H89</f>
        <v>4270</v>
      </c>
      <c r="J89" s="26">
        <v>4</v>
      </c>
      <c r="K89" s="68">
        <f>$D89*J89</f>
        <v>2800</v>
      </c>
      <c r="L89" s="25">
        <v>1.25</v>
      </c>
      <c r="M89" s="57">
        <f>$D89*L89</f>
        <v>875</v>
      </c>
      <c r="N89" s="116">
        <f>Tabelle1!N66</f>
        <v>5.8</v>
      </c>
      <c r="O89" s="57">
        <f>$D89*N89</f>
        <v>4060</v>
      </c>
      <c r="XES89"/>
      <c r="XET89"/>
    </row>
    <row r="90" spans="1:15 16373:16374" ht="15" x14ac:dyDescent="0.2">
      <c r="A90" s="23" t="s">
        <v>68</v>
      </c>
      <c r="B90" s="24" t="s">
        <v>89</v>
      </c>
      <c r="C90" s="24" t="s">
        <v>97</v>
      </c>
      <c r="D90" s="85">
        <v>1</v>
      </c>
      <c r="E90" s="86" t="s">
        <v>136</v>
      </c>
      <c r="F90" s="116">
        <f>Tabelle1!F67</f>
        <v>12.4</v>
      </c>
      <c r="G90" s="57" t="s">
        <v>143</v>
      </c>
      <c r="H90" s="116">
        <f>Tabelle1!H67</f>
        <v>4.5</v>
      </c>
      <c r="I90" s="57" t="s">
        <v>143</v>
      </c>
      <c r="J90" s="26">
        <v>4</v>
      </c>
      <c r="K90" s="57" t="s">
        <v>143</v>
      </c>
      <c r="L90" s="25">
        <v>1.85</v>
      </c>
      <c r="M90" s="57" t="s">
        <v>143</v>
      </c>
      <c r="N90" s="116" t="str">
        <f>Tabelle1!N67</f>
        <v>nicht notwendig</v>
      </c>
      <c r="O90" s="57" t="s">
        <v>143</v>
      </c>
      <c r="XES90"/>
      <c r="XET90"/>
    </row>
    <row r="91" spans="1:15 16373:16374" ht="15" x14ac:dyDescent="0.2">
      <c r="A91" s="23" t="s">
        <v>69</v>
      </c>
      <c r="B91" s="24"/>
      <c r="C91" s="24" t="s">
        <v>98</v>
      </c>
      <c r="D91" s="85">
        <v>3775</v>
      </c>
      <c r="E91" s="86" t="s">
        <v>137</v>
      </c>
      <c r="F91" s="116">
        <f>Tabelle1!F68</f>
        <v>0</v>
      </c>
      <c r="G91" s="57"/>
      <c r="H91" s="116">
        <f>Tabelle1!H68</f>
        <v>5.9</v>
      </c>
      <c r="I91" s="127" t="s">
        <v>143</v>
      </c>
      <c r="J91" s="26"/>
      <c r="K91" s="127" t="s">
        <v>143</v>
      </c>
      <c r="L91" s="25"/>
      <c r="M91" s="57"/>
      <c r="N91" s="116">
        <f>Tabelle1!N68</f>
        <v>5.5</v>
      </c>
      <c r="O91" s="127" t="s">
        <v>143</v>
      </c>
      <c r="XES91"/>
      <c r="XET91"/>
    </row>
    <row r="92" spans="1:15 16373:16374" ht="15.5" customHeight="1" x14ac:dyDescent="0.15">
      <c r="A92" s="124" t="s">
        <v>181</v>
      </c>
      <c r="B92" s="66"/>
      <c r="C92" s="125" t="s">
        <v>178</v>
      </c>
      <c r="D92" s="87">
        <v>3775</v>
      </c>
      <c r="E92" s="126" t="s">
        <v>137</v>
      </c>
      <c r="F92" s="67">
        <v>9.2799999999999994</v>
      </c>
      <c r="G92" s="68">
        <f>$D92*F92</f>
        <v>35032</v>
      </c>
      <c r="H92" s="67">
        <v>6.35</v>
      </c>
      <c r="I92" s="68">
        <f>$D92*H92</f>
        <v>23971.25</v>
      </c>
      <c r="J92" s="26"/>
      <c r="K92" s="68">
        <f>$D92*J92</f>
        <v>0</v>
      </c>
      <c r="L92" s="25"/>
      <c r="M92" s="57"/>
      <c r="N92" s="67">
        <v>6.95</v>
      </c>
      <c r="O92" s="68">
        <f>$D92*N92</f>
        <v>26236.25</v>
      </c>
    </row>
    <row r="93" spans="1:15 16373:16374" ht="15" hidden="1" x14ac:dyDescent="0.2">
      <c r="A93" s="23"/>
      <c r="B93" s="24"/>
      <c r="C93" s="73" t="s">
        <v>161</v>
      </c>
      <c r="D93" s="89">
        <v>3775</v>
      </c>
      <c r="E93" s="90" t="s">
        <v>137</v>
      </c>
      <c r="F93" s="116">
        <f>Tabelle1!F69</f>
        <v>4.8499999999999996</v>
      </c>
      <c r="G93" s="129" t="s">
        <v>183</v>
      </c>
      <c r="H93" s="116">
        <f>Tabelle1!H69</f>
        <v>0</v>
      </c>
      <c r="I93" s="57"/>
      <c r="J93" s="26">
        <v>5.2</v>
      </c>
      <c r="K93" s="57"/>
      <c r="L93" s="25">
        <v>5.2</v>
      </c>
      <c r="M93" s="57">
        <f>$D93*L93</f>
        <v>19630</v>
      </c>
      <c r="N93" s="116">
        <f>Tabelle1!N69</f>
        <v>0</v>
      </c>
      <c r="O93" s="57"/>
      <c r="XES93"/>
      <c r="XET93"/>
    </row>
    <row r="94" spans="1:15 16373:16374" ht="15" hidden="1" x14ac:dyDescent="0.2">
      <c r="A94" s="23"/>
      <c r="B94" s="24"/>
      <c r="C94" s="73" t="s">
        <v>166</v>
      </c>
      <c r="D94" s="89">
        <v>3775</v>
      </c>
      <c r="E94" s="90" t="s">
        <v>137</v>
      </c>
      <c r="F94" s="116">
        <f>Tabelle1!F70</f>
        <v>5.7</v>
      </c>
      <c r="G94" s="75" t="s">
        <v>143</v>
      </c>
      <c r="H94" s="116">
        <f>Tabelle1!H70</f>
        <v>0</v>
      </c>
      <c r="I94" s="57"/>
      <c r="J94" s="26">
        <v>6.8</v>
      </c>
      <c r="K94" s="57"/>
      <c r="L94" s="25"/>
      <c r="M94" s="57"/>
      <c r="N94" s="116">
        <f>Tabelle1!N70</f>
        <v>0</v>
      </c>
      <c r="O94" s="57"/>
      <c r="XES94"/>
      <c r="XET94"/>
    </row>
    <row r="95" spans="1:15 16373:16374" ht="15.5" customHeight="1" x14ac:dyDescent="0.15">
      <c r="A95" s="23"/>
      <c r="B95" s="24"/>
      <c r="C95" s="138" t="s">
        <v>191</v>
      </c>
      <c r="D95" s="134">
        <v>3775</v>
      </c>
      <c r="E95" s="135" t="s">
        <v>137</v>
      </c>
      <c r="F95" s="116"/>
      <c r="G95" s="57"/>
      <c r="H95" s="116"/>
      <c r="I95" s="127"/>
      <c r="J95" s="26"/>
      <c r="K95" s="127"/>
      <c r="L95" s="25"/>
      <c r="M95" s="57"/>
      <c r="N95" s="136">
        <v>7.35</v>
      </c>
      <c r="O95" s="137" t="s">
        <v>143</v>
      </c>
    </row>
    <row r="96" spans="1:15 16373:16374" ht="15.5" customHeight="1" x14ac:dyDescent="0.15">
      <c r="A96" s="23"/>
      <c r="B96" s="24"/>
      <c r="C96" s="73" t="s">
        <v>213</v>
      </c>
      <c r="D96" s="89">
        <v>1</v>
      </c>
      <c r="E96" s="90" t="s">
        <v>137</v>
      </c>
      <c r="F96" s="74">
        <v>5.88</v>
      </c>
      <c r="G96" s="129" t="s">
        <v>143</v>
      </c>
      <c r="H96" s="116"/>
      <c r="I96" s="127"/>
      <c r="J96" s="26"/>
      <c r="K96" s="127"/>
      <c r="L96" s="25"/>
      <c r="M96" s="57"/>
      <c r="N96" s="116"/>
      <c r="O96" s="57"/>
    </row>
    <row r="97" spans="1:15 16373:16374" ht="15" x14ac:dyDescent="0.2">
      <c r="A97" s="23" t="s">
        <v>70</v>
      </c>
      <c r="B97" s="24" t="s">
        <v>89</v>
      </c>
      <c r="C97" s="24" t="s">
        <v>99</v>
      </c>
      <c r="D97" s="85">
        <v>1</v>
      </c>
      <c r="E97" s="86" t="s">
        <v>137</v>
      </c>
      <c r="F97" s="116">
        <f>Tabelle1!F71</f>
        <v>0</v>
      </c>
      <c r="G97" s="57"/>
      <c r="H97" s="116">
        <f>Tabelle1!H71</f>
        <v>6.9</v>
      </c>
      <c r="I97" s="57" t="s">
        <v>143</v>
      </c>
      <c r="J97" s="76" t="s">
        <v>163</v>
      </c>
      <c r="K97" s="57" t="s">
        <v>143</v>
      </c>
      <c r="L97" s="22"/>
      <c r="M97" s="22"/>
      <c r="N97" s="116">
        <f>Tabelle1!N71</f>
        <v>6.75</v>
      </c>
      <c r="O97" s="57" t="s">
        <v>143</v>
      </c>
      <c r="XES97"/>
      <c r="XET97"/>
    </row>
    <row r="98" spans="1:15 16373:16374" ht="15" hidden="1" x14ac:dyDescent="0.2">
      <c r="A98" s="23"/>
      <c r="B98" s="24"/>
      <c r="C98" s="73" t="s">
        <v>161</v>
      </c>
      <c r="D98" s="89">
        <v>1</v>
      </c>
      <c r="E98" s="90" t="s">
        <v>137</v>
      </c>
      <c r="F98" s="116">
        <f>Tabelle1!F72</f>
        <v>6</v>
      </c>
      <c r="G98" s="75" t="s">
        <v>143</v>
      </c>
      <c r="H98" s="116">
        <f>Tabelle1!H72</f>
        <v>0</v>
      </c>
      <c r="I98" s="57"/>
      <c r="J98" s="26"/>
      <c r="K98" s="57"/>
      <c r="L98" s="25">
        <v>5.95</v>
      </c>
      <c r="M98" s="57" t="s">
        <v>143</v>
      </c>
      <c r="N98" s="116">
        <f>Tabelle1!N72</f>
        <v>0</v>
      </c>
      <c r="O98" s="57"/>
      <c r="XES98"/>
      <c r="XET98"/>
    </row>
    <row r="99" spans="1:15 16373:16374" ht="15" hidden="1" x14ac:dyDescent="0.2">
      <c r="A99" s="23"/>
      <c r="B99" s="24"/>
      <c r="C99" s="73" t="s">
        <v>166</v>
      </c>
      <c r="D99" s="89">
        <v>1</v>
      </c>
      <c r="E99" s="90" t="s">
        <v>137</v>
      </c>
      <c r="F99" s="116">
        <f>Tabelle1!F73</f>
        <v>7.1</v>
      </c>
      <c r="G99" s="75" t="s">
        <v>143</v>
      </c>
      <c r="H99" s="116">
        <f>Tabelle1!H73</f>
        <v>0</v>
      </c>
      <c r="I99" s="57"/>
      <c r="J99" s="26"/>
      <c r="K99" s="57"/>
      <c r="L99" s="25"/>
      <c r="M99" s="57"/>
      <c r="N99" s="116">
        <f>Tabelle1!N73</f>
        <v>0</v>
      </c>
      <c r="O99" s="57"/>
      <c r="XES99"/>
      <c r="XET99"/>
    </row>
    <row r="100" spans="1:15 16373:16374" ht="15" x14ac:dyDescent="0.2">
      <c r="A100" s="23" t="s">
        <v>71</v>
      </c>
      <c r="B100" s="24" t="s">
        <v>89</v>
      </c>
      <c r="C100" s="24" t="s">
        <v>100</v>
      </c>
      <c r="D100" s="85">
        <v>1</v>
      </c>
      <c r="E100" s="86" t="s">
        <v>137</v>
      </c>
      <c r="F100" s="116">
        <f>Tabelle1!F74</f>
        <v>13.8</v>
      </c>
      <c r="G100" s="57" t="s">
        <v>143</v>
      </c>
      <c r="H100" s="116">
        <f>Tabelle1!H74</f>
        <v>14.9</v>
      </c>
      <c r="I100" s="57" t="s">
        <v>143</v>
      </c>
      <c r="J100" s="26">
        <v>24</v>
      </c>
      <c r="K100" s="57" t="s">
        <v>143</v>
      </c>
      <c r="L100" s="25">
        <v>7.25</v>
      </c>
      <c r="M100" s="57" t="s">
        <v>143</v>
      </c>
      <c r="N100" s="116">
        <f>Tabelle1!N74</f>
        <v>13.15</v>
      </c>
      <c r="O100" s="57" t="s">
        <v>143</v>
      </c>
      <c r="XES100"/>
      <c r="XET100"/>
    </row>
    <row r="101" spans="1:15 16373:16374" ht="15" x14ac:dyDescent="0.2">
      <c r="A101" s="23" t="s">
        <v>72</v>
      </c>
      <c r="B101" s="24" t="s">
        <v>89</v>
      </c>
      <c r="C101" s="24" t="s">
        <v>101</v>
      </c>
      <c r="D101" s="85">
        <v>1</v>
      </c>
      <c r="E101" s="86" t="s">
        <v>137</v>
      </c>
      <c r="F101" s="116">
        <f>Tabelle1!F75</f>
        <v>16.7</v>
      </c>
      <c r="G101" s="57" t="s">
        <v>143</v>
      </c>
      <c r="H101" s="116">
        <f>Tabelle1!H75</f>
        <v>19.899999999999999</v>
      </c>
      <c r="I101" s="57" t="s">
        <v>143</v>
      </c>
      <c r="J101" s="76" t="s">
        <v>163</v>
      </c>
      <c r="K101" s="57" t="s">
        <v>143</v>
      </c>
      <c r="L101" s="25">
        <v>13.95</v>
      </c>
      <c r="M101" s="57" t="s">
        <v>143</v>
      </c>
      <c r="N101" s="116">
        <f>Tabelle1!N75</f>
        <v>18.95</v>
      </c>
      <c r="O101" s="57" t="s">
        <v>143</v>
      </c>
      <c r="XES101"/>
      <c r="XET101"/>
    </row>
    <row r="102" spans="1:15 16373:16374" ht="15" x14ac:dyDescent="0.2">
      <c r="A102" s="28" t="s">
        <v>61</v>
      </c>
      <c r="B102" s="29"/>
      <c r="C102" s="29" t="s">
        <v>91</v>
      </c>
      <c r="D102" s="91"/>
      <c r="E102" s="92"/>
      <c r="F102" s="30"/>
      <c r="G102" s="58">
        <f>SUM(G62:G101)</f>
        <v>445496.75</v>
      </c>
      <c r="H102" s="30"/>
      <c r="I102" s="58">
        <f>SUM(I62:I101)</f>
        <v>425682.30000000005</v>
      </c>
      <c r="J102" s="31"/>
      <c r="K102" s="58">
        <f>SUM(K62:K101)</f>
        <v>422174.64999999997</v>
      </c>
      <c r="L102" s="30"/>
      <c r="M102" s="58">
        <f>SUM(M62:M101)</f>
        <v>459704.25</v>
      </c>
      <c r="N102" s="30"/>
      <c r="O102" s="58">
        <f>SUM(O62:O101)</f>
        <v>443660.25</v>
      </c>
      <c r="XES102"/>
      <c r="XET102"/>
    </row>
    <row r="103" spans="1:15 16373:16374" ht="15" x14ac:dyDescent="0.2">
      <c r="A103" s="23"/>
      <c r="B103" s="24"/>
      <c r="C103" s="24"/>
      <c r="D103" s="85"/>
      <c r="E103" s="86"/>
      <c r="F103" s="25"/>
      <c r="G103" s="57"/>
      <c r="H103" s="25"/>
      <c r="I103" s="57"/>
      <c r="J103" s="26"/>
      <c r="K103" s="57"/>
      <c r="L103" s="25"/>
      <c r="M103" s="57"/>
      <c r="N103" s="25"/>
      <c r="O103" s="57"/>
      <c r="XES103"/>
      <c r="XET103"/>
    </row>
    <row r="104" spans="1:15 16373:16374" ht="15" x14ac:dyDescent="0.2">
      <c r="A104" s="23" t="s">
        <v>74</v>
      </c>
      <c r="B104" s="24"/>
      <c r="C104" s="24" t="s">
        <v>130</v>
      </c>
      <c r="D104" s="85">
        <v>400</v>
      </c>
      <c r="E104" s="86" t="s">
        <v>135</v>
      </c>
      <c r="F104" s="116">
        <f>Tabelle1!F78</f>
        <v>52.85</v>
      </c>
      <c r="G104" s="57">
        <f>$D104*F104</f>
        <v>21140</v>
      </c>
      <c r="H104" s="116">
        <f>Tabelle1!H78</f>
        <v>53.25</v>
      </c>
      <c r="I104" s="57">
        <f>$D104*H104</f>
        <v>21300</v>
      </c>
      <c r="J104" s="26">
        <v>67</v>
      </c>
      <c r="K104" s="57">
        <f t="shared" ref="K104" si="7">$D104*J104</f>
        <v>26800</v>
      </c>
      <c r="L104" s="25">
        <v>56.45</v>
      </c>
      <c r="M104" s="57">
        <f>$D104*L104</f>
        <v>22580</v>
      </c>
      <c r="N104" s="116">
        <v>56.2</v>
      </c>
      <c r="O104" s="57">
        <f>$D104*N104</f>
        <v>22480</v>
      </c>
      <c r="XES104"/>
      <c r="XET104"/>
    </row>
    <row r="105" spans="1:15 16373:16374" ht="15" x14ac:dyDescent="0.2">
      <c r="A105" s="23" t="s">
        <v>75</v>
      </c>
      <c r="B105" s="24"/>
      <c r="C105" s="24" t="s">
        <v>118</v>
      </c>
      <c r="D105" s="85">
        <v>293</v>
      </c>
      <c r="E105" s="86" t="s">
        <v>135</v>
      </c>
      <c r="F105" s="116">
        <f>Tabelle1!F79</f>
        <v>74</v>
      </c>
      <c r="G105" s="127" t="s">
        <v>184</v>
      </c>
      <c r="H105" s="116">
        <f>Tabelle1!H79</f>
        <v>97.42</v>
      </c>
      <c r="I105" s="127" t="s">
        <v>184</v>
      </c>
      <c r="J105" s="26">
        <v>78</v>
      </c>
      <c r="K105" s="127" t="s">
        <v>184</v>
      </c>
      <c r="L105" s="25">
        <v>63.05</v>
      </c>
      <c r="M105" s="57">
        <f>$D105*L105</f>
        <v>18473.649999999998</v>
      </c>
      <c r="N105" s="130" t="str">
        <f>Tabelle1!N79</f>
        <v>bauseits</v>
      </c>
      <c r="O105" s="122"/>
      <c r="XES105"/>
      <c r="XET105"/>
    </row>
    <row r="106" spans="1:15 16373:16374" ht="15" x14ac:dyDescent="0.2">
      <c r="A106" s="23" t="s">
        <v>76</v>
      </c>
      <c r="B106" s="24"/>
      <c r="C106" s="24" t="s">
        <v>106</v>
      </c>
      <c r="D106" s="85">
        <v>390</v>
      </c>
      <c r="E106" s="86" t="s">
        <v>137</v>
      </c>
      <c r="F106" s="116">
        <f>Tabelle1!F80</f>
        <v>11.7</v>
      </c>
      <c r="G106" s="127" t="s">
        <v>143</v>
      </c>
      <c r="H106" s="116">
        <f>Tabelle1!H80</f>
        <v>8.9</v>
      </c>
      <c r="I106" s="127" t="s">
        <v>143</v>
      </c>
      <c r="J106" s="26">
        <v>6.4</v>
      </c>
      <c r="K106" s="127" t="s">
        <v>143</v>
      </c>
      <c r="L106" s="25">
        <v>8.5500000000000007</v>
      </c>
      <c r="M106" s="57">
        <f>$D106*L106</f>
        <v>3334.5000000000005</v>
      </c>
      <c r="N106" s="116">
        <f>Tabelle1!N80</f>
        <v>7.95</v>
      </c>
      <c r="O106" s="127" t="s">
        <v>143</v>
      </c>
      <c r="XES106"/>
      <c r="XET106"/>
    </row>
    <row r="107" spans="1:15 16373:16374" ht="15" x14ac:dyDescent="0.2">
      <c r="A107" s="23" t="s">
        <v>77</v>
      </c>
      <c r="B107" s="24"/>
      <c r="C107" s="24" t="s">
        <v>121</v>
      </c>
      <c r="D107" s="85">
        <v>362</v>
      </c>
      <c r="E107" s="86" t="s">
        <v>137</v>
      </c>
      <c r="F107" s="116">
        <f>Tabelle1!F81</f>
        <v>12.8</v>
      </c>
      <c r="G107" s="127" t="s">
        <v>143</v>
      </c>
      <c r="H107" s="116">
        <f>Tabelle1!H81</f>
        <v>7.9</v>
      </c>
      <c r="I107" s="127" t="s">
        <v>143</v>
      </c>
      <c r="J107" s="26">
        <v>12.9</v>
      </c>
      <c r="K107" s="127" t="s">
        <v>143</v>
      </c>
      <c r="L107" s="25">
        <v>11.85</v>
      </c>
      <c r="M107" s="57">
        <f>$D107*L107</f>
        <v>4289.7</v>
      </c>
      <c r="N107" s="116">
        <f>Tabelle1!N81</f>
        <v>13.9</v>
      </c>
      <c r="O107" s="127" t="s">
        <v>143</v>
      </c>
      <c r="XES107"/>
      <c r="XET107"/>
    </row>
    <row r="108" spans="1:15 16373:16374" ht="15.5" customHeight="1" x14ac:dyDescent="0.15">
      <c r="A108" s="124" t="s">
        <v>182</v>
      </c>
      <c r="B108" s="66"/>
      <c r="C108" s="125" t="s">
        <v>178</v>
      </c>
      <c r="D108" s="87">
        <f>D106+D107</f>
        <v>752</v>
      </c>
      <c r="E108" s="126" t="s">
        <v>137</v>
      </c>
      <c r="F108" s="67">
        <v>9.2799999999999994</v>
      </c>
      <c r="G108" s="68">
        <f>$D108*F108</f>
        <v>6978.5599999999995</v>
      </c>
      <c r="H108" s="67">
        <v>8.3000000000000007</v>
      </c>
      <c r="I108" s="68">
        <f>$D108*H108</f>
        <v>6241.6</v>
      </c>
      <c r="J108" s="67"/>
      <c r="K108" s="68">
        <f>$D108*J108</f>
        <v>0</v>
      </c>
      <c r="L108" s="25"/>
      <c r="M108" s="57"/>
      <c r="N108" s="67">
        <v>6.95</v>
      </c>
      <c r="O108" s="68">
        <f>$D108*N108</f>
        <v>5226.4000000000005</v>
      </c>
    </row>
    <row r="109" spans="1:15 16373:16374" ht="15.5" customHeight="1" x14ac:dyDescent="0.15">
      <c r="A109" s="23"/>
      <c r="B109" s="24"/>
      <c r="C109" s="138" t="s">
        <v>191</v>
      </c>
      <c r="D109" s="134">
        <v>752</v>
      </c>
      <c r="E109" s="135" t="s">
        <v>137</v>
      </c>
      <c r="F109" s="116"/>
      <c r="G109" s="57"/>
      <c r="H109" s="116"/>
      <c r="I109" s="127"/>
      <c r="J109" s="26"/>
      <c r="K109" s="127"/>
      <c r="L109" s="25"/>
      <c r="M109" s="57"/>
      <c r="N109" s="136">
        <v>7.35</v>
      </c>
      <c r="O109" s="137" t="s">
        <v>143</v>
      </c>
    </row>
    <row r="110" spans="1:15 16373:16374" ht="15.5" customHeight="1" x14ac:dyDescent="0.15">
      <c r="A110" s="23"/>
      <c r="B110" s="24"/>
      <c r="C110" s="73" t="s">
        <v>213</v>
      </c>
      <c r="D110" s="89">
        <v>1</v>
      </c>
      <c r="E110" s="90" t="s">
        <v>137</v>
      </c>
      <c r="F110" s="74">
        <v>5.88</v>
      </c>
      <c r="G110" s="129" t="s">
        <v>143</v>
      </c>
      <c r="H110" s="116"/>
      <c r="I110" s="127"/>
      <c r="J110" s="26"/>
      <c r="K110" s="127"/>
      <c r="L110" s="25"/>
      <c r="M110" s="57"/>
      <c r="N110" s="116"/>
      <c r="O110" s="57"/>
    </row>
    <row r="111" spans="1:15 16373:16374" ht="15" x14ac:dyDescent="0.2">
      <c r="A111" s="28" t="s">
        <v>73</v>
      </c>
      <c r="B111" s="29"/>
      <c r="C111" s="29" t="s">
        <v>112</v>
      </c>
      <c r="D111" s="91"/>
      <c r="E111" s="92"/>
      <c r="F111" s="30"/>
      <c r="G111" s="58">
        <f>SUM(G104:G109)</f>
        <v>28118.559999999998</v>
      </c>
      <c r="H111" s="30"/>
      <c r="I111" s="58">
        <f>SUM(I104:I109)</f>
        <v>27541.599999999999</v>
      </c>
      <c r="J111" s="31"/>
      <c r="K111" s="58">
        <f>SUM(K104:K109)</f>
        <v>26800</v>
      </c>
      <c r="L111" s="30"/>
      <c r="M111" s="58">
        <f>SUM(M104:M107)</f>
        <v>48677.849999999991</v>
      </c>
      <c r="N111" s="30"/>
      <c r="O111" s="58">
        <f>SUM(O104:O109)</f>
        <v>27706.400000000001</v>
      </c>
      <c r="XES111"/>
      <c r="XET111"/>
    </row>
    <row r="112" spans="1:15 16373:16374" ht="15" x14ac:dyDescent="0.2">
      <c r="A112" s="23"/>
      <c r="B112" s="24"/>
      <c r="C112" s="24"/>
      <c r="D112" s="85"/>
      <c r="E112" s="86"/>
      <c r="F112" s="25"/>
      <c r="G112" s="57"/>
      <c r="H112" s="25"/>
      <c r="I112" s="57"/>
      <c r="J112" s="26"/>
      <c r="K112" s="57"/>
      <c r="L112" s="25"/>
      <c r="M112" s="57"/>
      <c r="N112" s="116"/>
      <c r="O112" s="57"/>
      <c r="XES112"/>
      <c r="XET112"/>
    </row>
    <row r="113" spans="1:15 16373:16374" ht="15" x14ac:dyDescent="0.2">
      <c r="A113" s="23" t="s">
        <v>79</v>
      </c>
      <c r="B113" s="24" t="s">
        <v>89</v>
      </c>
      <c r="C113" s="24" t="s">
        <v>123</v>
      </c>
      <c r="D113" s="85">
        <v>1</v>
      </c>
      <c r="E113" s="86" t="s">
        <v>137</v>
      </c>
      <c r="F113" s="116">
        <f>Tabelle1!F84</f>
        <v>12.8</v>
      </c>
      <c r="G113" s="57" t="s">
        <v>143</v>
      </c>
      <c r="H113" s="116">
        <f>Tabelle1!H84</f>
        <v>16.899999999999999</v>
      </c>
      <c r="I113" s="57" t="s">
        <v>143</v>
      </c>
      <c r="J113" s="26">
        <v>24</v>
      </c>
      <c r="K113" s="57" t="s">
        <v>143</v>
      </c>
      <c r="L113" s="25">
        <v>8.85</v>
      </c>
      <c r="M113" s="57" t="s">
        <v>143</v>
      </c>
      <c r="N113" s="116">
        <f>Tabelle1!N84</f>
        <v>14.35</v>
      </c>
      <c r="O113" s="57" t="s">
        <v>143</v>
      </c>
      <c r="XES113"/>
      <c r="XET113"/>
    </row>
    <row r="114" spans="1:15 16373:16374" ht="15" x14ac:dyDescent="0.2">
      <c r="A114" s="23" t="s">
        <v>80</v>
      </c>
      <c r="B114" s="24" t="s">
        <v>89</v>
      </c>
      <c r="C114" s="24" t="s">
        <v>124</v>
      </c>
      <c r="D114" s="85">
        <v>1</v>
      </c>
      <c r="E114" s="86" t="s">
        <v>137</v>
      </c>
      <c r="F114" s="116">
        <f>Tabelle1!F85</f>
        <v>7.95</v>
      </c>
      <c r="G114" s="57" t="s">
        <v>143</v>
      </c>
      <c r="H114" s="116">
        <f>Tabelle1!H85</f>
        <v>9.9</v>
      </c>
      <c r="I114" s="57" t="s">
        <v>143</v>
      </c>
      <c r="J114" s="26">
        <v>9</v>
      </c>
      <c r="K114" s="57" t="s">
        <v>143</v>
      </c>
      <c r="L114" s="25">
        <v>7.9</v>
      </c>
      <c r="M114" s="57" t="s">
        <v>143</v>
      </c>
      <c r="N114" s="116">
        <f>Tabelle1!N85</f>
        <v>9</v>
      </c>
      <c r="O114" s="57" t="s">
        <v>143</v>
      </c>
      <c r="XES114"/>
      <c r="XET114"/>
    </row>
    <row r="115" spans="1:15 16373:16374" ht="15" x14ac:dyDescent="0.2">
      <c r="A115" s="23" t="s">
        <v>81</v>
      </c>
      <c r="B115" s="24" t="s">
        <v>89</v>
      </c>
      <c r="C115" s="24" t="s">
        <v>125</v>
      </c>
      <c r="D115" s="85">
        <v>1</v>
      </c>
      <c r="E115" s="86" t="s">
        <v>137</v>
      </c>
      <c r="F115" s="116">
        <f>Tabelle1!F86</f>
        <v>7.95</v>
      </c>
      <c r="G115" s="57" t="s">
        <v>143</v>
      </c>
      <c r="H115" s="116">
        <f>Tabelle1!H86</f>
        <v>9.9</v>
      </c>
      <c r="I115" s="57" t="s">
        <v>143</v>
      </c>
      <c r="J115" s="26">
        <v>12</v>
      </c>
      <c r="K115" s="57" t="s">
        <v>143</v>
      </c>
      <c r="L115" s="25">
        <v>7.9</v>
      </c>
      <c r="M115" s="57" t="s">
        <v>143</v>
      </c>
      <c r="N115" s="116">
        <f>Tabelle1!N86</f>
        <v>9</v>
      </c>
      <c r="O115" s="57" t="s">
        <v>143</v>
      </c>
      <c r="XES115"/>
      <c r="XET115"/>
    </row>
    <row r="116" spans="1:15 16373:16374" ht="15" x14ac:dyDescent="0.2">
      <c r="A116" s="23" t="s">
        <v>82</v>
      </c>
      <c r="B116" s="24" t="s">
        <v>89</v>
      </c>
      <c r="C116" s="24" t="s">
        <v>126</v>
      </c>
      <c r="D116" s="85">
        <v>1</v>
      </c>
      <c r="E116" s="86" t="s">
        <v>136</v>
      </c>
      <c r="F116" s="116">
        <f>Tabelle1!F87</f>
        <v>12.8</v>
      </c>
      <c r="G116" s="57" t="s">
        <v>143</v>
      </c>
      <c r="H116" s="116">
        <f>Tabelle1!H87</f>
        <v>42.5</v>
      </c>
      <c r="I116" s="57" t="s">
        <v>143</v>
      </c>
      <c r="J116" s="26">
        <v>30</v>
      </c>
      <c r="K116" s="57" t="s">
        <v>143</v>
      </c>
      <c r="L116" s="25">
        <v>18.149999999999999</v>
      </c>
      <c r="M116" s="57" t="s">
        <v>143</v>
      </c>
      <c r="N116" s="116">
        <f>Tabelle1!N87</f>
        <v>35</v>
      </c>
      <c r="O116" s="57" t="s">
        <v>143</v>
      </c>
      <c r="XES116"/>
      <c r="XET116"/>
    </row>
    <row r="117" spans="1:15 16373:16374" ht="15" x14ac:dyDescent="0.2">
      <c r="A117" s="23" t="s">
        <v>83</v>
      </c>
      <c r="B117" s="24" t="s">
        <v>89</v>
      </c>
      <c r="C117" s="24" t="s">
        <v>127</v>
      </c>
      <c r="D117" s="85">
        <v>1</v>
      </c>
      <c r="E117" s="86" t="s">
        <v>135</v>
      </c>
      <c r="F117" s="116">
        <f>Tabelle1!F88</f>
        <v>14.15</v>
      </c>
      <c r="G117" s="57" t="s">
        <v>143</v>
      </c>
      <c r="H117" s="116">
        <f>Tabelle1!H88</f>
        <v>8.9</v>
      </c>
      <c r="I117" s="57" t="s">
        <v>143</v>
      </c>
      <c r="J117" s="76" t="s">
        <v>163</v>
      </c>
      <c r="K117" s="57" t="s">
        <v>143</v>
      </c>
      <c r="L117" s="25">
        <v>13.95</v>
      </c>
      <c r="M117" s="57" t="s">
        <v>143</v>
      </c>
      <c r="N117" s="116">
        <f>Tabelle1!N88</f>
        <v>18.2</v>
      </c>
      <c r="O117" s="57" t="s">
        <v>143</v>
      </c>
      <c r="XES117"/>
      <c r="XET117"/>
    </row>
    <row r="118" spans="1:15 16373:16374" ht="15" x14ac:dyDescent="0.2">
      <c r="A118" s="23" t="s">
        <v>84</v>
      </c>
      <c r="B118" s="24" t="s">
        <v>89</v>
      </c>
      <c r="C118" s="24" t="s">
        <v>128</v>
      </c>
      <c r="D118" s="85">
        <v>1</v>
      </c>
      <c r="E118" s="86" t="s">
        <v>135</v>
      </c>
      <c r="F118" s="116">
        <f>Tabelle1!F89</f>
        <v>2.35</v>
      </c>
      <c r="G118" s="57" t="s">
        <v>143</v>
      </c>
      <c r="H118" s="116">
        <f>Tabelle1!H89</f>
        <v>4.9000000000000004</v>
      </c>
      <c r="I118" s="57" t="s">
        <v>143</v>
      </c>
      <c r="J118" s="26">
        <v>2.7</v>
      </c>
      <c r="K118" s="57" t="s">
        <v>143</v>
      </c>
      <c r="L118" s="25">
        <v>3.05</v>
      </c>
      <c r="M118" s="57" t="s">
        <v>143</v>
      </c>
      <c r="N118" s="116">
        <f>Tabelle1!N89</f>
        <v>2.2000000000000002</v>
      </c>
      <c r="O118" s="57" t="s">
        <v>143</v>
      </c>
      <c r="XES118"/>
      <c r="XET118"/>
    </row>
    <row r="119" spans="1:15 16373:16374" ht="15" x14ac:dyDescent="0.2">
      <c r="A119" s="28" t="s">
        <v>78</v>
      </c>
      <c r="B119" s="29"/>
      <c r="C119" s="29" t="s">
        <v>122</v>
      </c>
      <c r="D119" s="91"/>
      <c r="E119" s="92"/>
      <c r="F119" s="30"/>
      <c r="G119" s="58">
        <f>SUM(G113:G118)</f>
        <v>0</v>
      </c>
      <c r="H119" s="30"/>
      <c r="I119" s="58">
        <f>SUM(I113:I118)</f>
        <v>0</v>
      </c>
      <c r="J119" s="31"/>
      <c r="K119" s="58">
        <f>SUM(K113:K118)</f>
        <v>0</v>
      </c>
      <c r="L119" s="30"/>
      <c r="M119" s="58">
        <f>SUM(M113:M118)</f>
        <v>0</v>
      </c>
      <c r="N119" s="30"/>
      <c r="O119" s="58">
        <f>SUM(O113:O118)</f>
        <v>0</v>
      </c>
      <c r="XES119"/>
      <c r="XET119"/>
    </row>
    <row r="120" spans="1:15 16373:16374" ht="15" x14ac:dyDescent="0.2">
      <c r="A120" s="23"/>
      <c r="B120" s="24"/>
      <c r="C120" s="24"/>
      <c r="D120" s="85"/>
      <c r="E120" s="86"/>
      <c r="F120" s="25"/>
      <c r="G120" s="57"/>
      <c r="H120" s="25"/>
      <c r="I120" s="57"/>
      <c r="J120" s="26"/>
      <c r="K120" s="57"/>
      <c r="L120" s="25"/>
      <c r="M120" s="57"/>
      <c r="N120" s="25"/>
      <c r="O120" s="57"/>
      <c r="XES120"/>
      <c r="XET120"/>
    </row>
    <row r="121" spans="1:15 16373:16374" ht="15" x14ac:dyDescent="0.2">
      <c r="A121" s="23" t="s">
        <v>86</v>
      </c>
      <c r="B121" s="24" t="s">
        <v>89</v>
      </c>
      <c r="C121" s="24" t="s">
        <v>132</v>
      </c>
      <c r="D121" s="85">
        <v>1</v>
      </c>
      <c r="E121" s="86" t="s">
        <v>138</v>
      </c>
      <c r="F121" s="116">
        <f>Tabelle1!F92</f>
        <v>48</v>
      </c>
      <c r="G121" s="57" t="s">
        <v>143</v>
      </c>
      <c r="H121" s="116">
        <f>Tabelle1!H92</f>
        <v>42.5</v>
      </c>
      <c r="I121" s="57" t="s">
        <v>143</v>
      </c>
      <c r="J121" s="26">
        <v>48</v>
      </c>
      <c r="K121" s="57" t="s">
        <v>143</v>
      </c>
      <c r="L121" s="25">
        <v>45</v>
      </c>
      <c r="M121" s="57" t="s">
        <v>143</v>
      </c>
      <c r="N121" s="116">
        <f>Tabelle1!N92</f>
        <v>51.5</v>
      </c>
      <c r="O121" s="57" t="s">
        <v>143</v>
      </c>
      <c r="XES121"/>
      <c r="XET121"/>
    </row>
    <row r="122" spans="1:15 16373:16374" ht="15" x14ac:dyDescent="0.2">
      <c r="A122" s="23" t="s">
        <v>87</v>
      </c>
      <c r="B122" s="24" t="s">
        <v>89</v>
      </c>
      <c r="C122" s="24" t="s">
        <v>133</v>
      </c>
      <c r="D122" s="85">
        <v>1</v>
      </c>
      <c r="E122" s="86" t="s">
        <v>138</v>
      </c>
      <c r="F122" s="116">
        <f>Tabelle1!F93</f>
        <v>48</v>
      </c>
      <c r="G122" s="57" t="s">
        <v>143</v>
      </c>
      <c r="H122" s="116">
        <f>Tabelle1!H93</f>
        <v>42.5</v>
      </c>
      <c r="I122" s="57" t="s">
        <v>143</v>
      </c>
      <c r="J122" s="26">
        <v>46</v>
      </c>
      <c r="K122" s="57" t="s">
        <v>143</v>
      </c>
      <c r="L122" s="25">
        <v>42</v>
      </c>
      <c r="M122" s="57" t="s">
        <v>143</v>
      </c>
      <c r="N122" s="116">
        <f>Tabelle1!N93</f>
        <v>51.5</v>
      </c>
      <c r="O122" s="57" t="s">
        <v>143</v>
      </c>
      <c r="XES122"/>
      <c r="XET122"/>
    </row>
    <row r="123" spans="1:15 16373:16374" ht="15" x14ac:dyDescent="0.2">
      <c r="A123" s="23" t="s">
        <v>88</v>
      </c>
      <c r="B123" s="24" t="s">
        <v>89</v>
      </c>
      <c r="C123" s="24" t="s">
        <v>134</v>
      </c>
      <c r="D123" s="85">
        <v>1</v>
      </c>
      <c r="E123" s="86" t="s">
        <v>138</v>
      </c>
      <c r="F123" s="25" t="s">
        <v>163</v>
      </c>
      <c r="G123" s="57" t="s">
        <v>143</v>
      </c>
      <c r="H123" s="116">
        <f>Tabelle1!H94</f>
        <v>29.5</v>
      </c>
      <c r="I123" s="57" t="s">
        <v>143</v>
      </c>
      <c r="J123" s="26">
        <v>46</v>
      </c>
      <c r="K123" s="57" t="s">
        <v>143</v>
      </c>
      <c r="L123" s="25">
        <v>40</v>
      </c>
      <c r="M123" s="57" t="s">
        <v>143</v>
      </c>
      <c r="N123" s="116">
        <f>Tabelle1!N94</f>
        <v>40</v>
      </c>
      <c r="O123" s="57" t="s">
        <v>143</v>
      </c>
      <c r="XES123"/>
      <c r="XET123"/>
    </row>
    <row r="124" spans="1:15 16373:16374" ht="15" x14ac:dyDescent="0.2">
      <c r="A124" s="28" t="s">
        <v>85</v>
      </c>
      <c r="B124" s="29"/>
      <c r="C124" s="29" t="s">
        <v>131</v>
      </c>
      <c r="D124" s="91"/>
      <c r="E124" s="92"/>
      <c r="F124" s="30"/>
      <c r="G124" s="59">
        <f>SUM(G121:G123)</f>
        <v>0</v>
      </c>
      <c r="H124" s="30"/>
      <c r="I124" s="59">
        <f>SUM(I121:I123)</f>
        <v>0</v>
      </c>
      <c r="J124" s="31"/>
      <c r="K124" s="59">
        <f>SUM(K121:K123)</f>
        <v>0</v>
      </c>
      <c r="L124" s="30"/>
      <c r="M124" s="59">
        <f>SUM(M121:M123)</f>
        <v>0</v>
      </c>
      <c r="N124" s="30"/>
      <c r="O124" s="59">
        <f>SUM(O121:O123)</f>
        <v>0</v>
      </c>
      <c r="XES124"/>
      <c r="XET124"/>
    </row>
    <row r="125" spans="1:15 16373:16374" ht="15" x14ac:dyDescent="0.2">
      <c r="A125" s="23"/>
      <c r="B125" s="24"/>
      <c r="C125" s="24"/>
      <c r="D125" s="85"/>
      <c r="E125" s="86"/>
      <c r="F125" s="25"/>
      <c r="G125" s="60"/>
      <c r="H125" s="25"/>
      <c r="I125" s="60"/>
      <c r="J125" s="26"/>
      <c r="K125" s="60"/>
      <c r="L125" s="25"/>
      <c r="M125" s="60"/>
      <c r="N125" s="25"/>
      <c r="O125" s="60"/>
      <c r="XES125"/>
      <c r="XET125"/>
    </row>
    <row r="126" spans="1:15 16373:16374" ht="16" thickBot="1" x14ac:dyDescent="0.25">
      <c r="A126" s="32"/>
      <c r="B126" s="33"/>
      <c r="C126" s="34" t="s">
        <v>139</v>
      </c>
      <c r="D126" s="85"/>
      <c r="E126" s="86"/>
      <c r="F126" s="25"/>
      <c r="G126" s="60"/>
      <c r="H126" s="25"/>
      <c r="I126" s="60"/>
      <c r="J126" s="26"/>
      <c r="K126" s="60"/>
      <c r="L126" s="25"/>
      <c r="M126" s="60"/>
      <c r="N126" s="25"/>
      <c r="O126" s="60"/>
      <c r="XES126"/>
      <c r="XET126"/>
    </row>
    <row r="127" spans="1:15 16373:16374" ht="15" x14ac:dyDescent="0.2">
      <c r="A127" s="35" t="str">
        <f>30:30</f>
        <v>01.01.01.</v>
      </c>
      <c r="B127" s="36"/>
      <c r="C127" s="36" t="s">
        <v>91</v>
      </c>
      <c r="D127" s="93"/>
      <c r="E127" s="94"/>
      <c r="F127" s="37"/>
      <c r="G127" s="121">
        <f>G30</f>
        <v>276186.09000000003</v>
      </c>
      <c r="H127" s="37"/>
      <c r="I127" s="61">
        <f>I30</f>
        <v>259348.2</v>
      </c>
      <c r="J127" s="38">
        <v>19</v>
      </c>
      <c r="K127" s="61">
        <f>K30</f>
        <v>246506.73</v>
      </c>
      <c r="L127" s="37"/>
      <c r="M127" s="61">
        <f>M30</f>
        <v>277381.05</v>
      </c>
      <c r="N127" s="37"/>
      <c r="O127" s="61">
        <f>O30</f>
        <v>273056.26999999996</v>
      </c>
      <c r="XES127"/>
      <c r="XET127"/>
    </row>
    <row r="128" spans="1:15 16373:16374" ht="15" x14ac:dyDescent="0.2">
      <c r="A128" s="35" t="str">
        <f>A46</f>
        <v>01.01.02.</v>
      </c>
      <c r="B128" s="36"/>
      <c r="C128" s="36" t="s">
        <v>102</v>
      </c>
      <c r="D128" s="93"/>
      <c r="E128" s="94"/>
      <c r="F128" s="37"/>
      <c r="G128" s="121">
        <f>G46</f>
        <v>97530.68</v>
      </c>
      <c r="H128" s="37"/>
      <c r="I128" s="61">
        <f>I46</f>
        <v>107272.09</v>
      </c>
      <c r="J128" s="38"/>
      <c r="K128" s="61">
        <f>K46</f>
        <v>85560</v>
      </c>
      <c r="L128" s="37"/>
      <c r="M128" s="61">
        <f>M46</f>
        <v>100730.25</v>
      </c>
      <c r="N128" s="37"/>
      <c r="O128" s="61">
        <f>O46</f>
        <v>98558.2</v>
      </c>
      <c r="XES128"/>
      <c r="XET128"/>
    </row>
    <row r="129" spans="1:15 16373:16374" ht="15" x14ac:dyDescent="0.2">
      <c r="A129" s="35" t="str">
        <f>A60</f>
        <v>01.01.03.</v>
      </c>
      <c r="B129" s="36"/>
      <c r="C129" s="36" t="s">
        <v>112</v>
      </c>
      <c r="D129" s="93"/>
      <c r="E129" s="94"/>
      <c r="F129" s="37"/>
      <c r="G129" s="121">
        <f>G60</f>
        <v>5299.52</v>
      </c>
      <c r="H129" s="37"/>
      <c r="I129" s="61">
        <f>I60</f>
        <v>5475.4000000000005</v>
      </c>
      <c r="J129" s="38">
        <v>0</v>
      </c>
      <c r="K129" s="61">
        <f>K60</f>
        <v>2189.6</v>
      </c>
      <c r="L129" s="37"/>
      <c r="M129" s="61">
        <f>M60</f>
        <v>27426.800000000003</v>
      </c>
      <c r="N129" s="37"/>
      <c r="O129" s="61">
        <f>O60</f>
        <v>4092.15</v>
      </c>
      <c r="XES129"/>
      <c r="XET129"/>
    </row>
    <row r="130" spans="1:15 16373:16374" ht="15" x14ac:dyDescent="0.2">
      <c r="A130" s="35" t="str">
        <f>A102</f>
        <v>01.02.01.</v>
      </c>
      <c r="B130" s="36"/>
      <c r="C130" s="36" t="s">
        <v>91</v>
      </c>
      <c r="D130" s="93"/>
      <c r="E130" s="94"/>
      <c r="F130" s="37"/>
      <c r="G130" s="121">
        <f>G102</f>
        <v>445496.75</v>
      </c>
      <c r="H130" s="37"/>
      <c r="I130" s="61">
        <f>I102</f>
        <v>425682.30000000005</v>
      </c>
      <c r="J130" s="38"/>
      <c r="K130" s="61">
        <f>K102</f>
        <v>422174.64999999997</v>
      </c>
      <c r="L130" s="37"/>
      <c r="M130" s="61">
        <f>M102</f>
        <v>459704.25</v>
      </c>
      <c r="N130" s="37"/>
      <c r="O130" s="61">
        <f>O102</f>
        <v>443660.25</v>
      </c>
      <c r="XES130"/>
      <c r="XET130"/>
    </row>
    <row r="131" spans="1:15 16373:16374" ht="15" x14ac:dyDescent="0.2">
      <c r="A131" s="35" t="str">
        <f>A111</f>
        <v>01.02.02.</v>
      </c>
      <c r="B131" s="36"/>
      <c r="C131" s="36" t="s">
        <v>112</v>
      </c>
      <c r="D131" s="93"/>
      <c r="E131" s="94"/>
      <c r="F131" s="37"/>
      <c r="G131" s="121">
        <f>G111</f>
        <v>28118.559999999998</v>
      </c>
      <c r="H131" s="37"/>
      <c r="I131" s="61">
        <f>I111</f>
        <v>27541.599999999999</v>
      </c>
      <c r="J131" s="38"/>
      <c r="K131" s="61">
        <f>K111</f>
        <v>26800</v>
      </c>
      <c r="L131" s="37"/>
      <c r="M131" s="61">
        <f>M111</f>
        <v>48677.849999999991</v>
      </c>
      <c r="N131" s="37"/>
      <c r="O131" s="61">
        <f>O111</f>
        <v>27706.400000000001</v>
      </c>
      <c r="XES131"/>
      <c r="XET131"/>
    </row>
    <row r="132" spans="1:15 16373:16374" ht="15" x14ac:dyDescent="0.2">
      <c r="A132" s="35" t="str">
        <f>A119</f>
        <v>01.02.03.</v>
      </c>
      <c r="B132" s="36"/>
      <c r="C132" s="36" t="s">
        <v>122</v>
      </c>
      <c r="D132" s="93"/>
      <c r="E132" s="94"/>
      <c r="F132" s="37"/>
      <c r="G132" s="61">
        <f>G119</f>
        <v>0</v>
      </c>
      <c r="H132" s="37"/>
      <c r="I132" s="61">
        <f>I119</f>
        <v>0</v>
      </c>
      <c r="J132" s="38"/>
      <c r="K132" s="61">
        <f>K119</f>
        <v>0</v>
      </c>
      <c r="L132" s="37"/>
      <c r="M132" s="61">
        <f>M119</f>
        <v>0</v>
      </c>
      <c r="N132" s="37"/>
      <c r="O132" s="61">
        <f>O119</f>
        <v>0</v>
      </c>
      <c r="XES132"/>
      <c r="XET132"/>
    </row>
    <row r="133" spans="1:15 16373:16374" ht="15" x14ac:dyDescent="0.2">
      <c r="A133" s="35" t="str">
        <f>A124</f>
        <v>01.03.01.</v>
      </c>
      <c r="B133" s="36"/>
      <c r="C133" s="36" t="s">
        <v>131</v>
      </c>
      <c r="D133" s="93"/>
      <c r="E133" s="94"/>
      <c r="F133" s="37"/>
      <c r="G133" s="61">
        <f>G124</f>
        <v>0</v>
      </c>
      <c r="H133" s="37"/>
      <c r="I133" s="61">
        <f>I124</f>
        <v>0</v>
      </c>
      <c r="J133" s="38"/>
      <c r="K133" s="61">
        <f>K124</f>
        <v>0</v>
      </c>
      <c r="L133" s="37"/>
      <c r="M133" s="61">
        <f>M124</f>
        <v>0</v>
      </c>
      <c r="N133" s="37"/>
      <c r="O133" s="61">
        <f>O124</f>
        <v>0</v>
      </c>
      <c r="XES133"/>
      <c r="XET133"/>
    </row>
    <row r="134" spans="1:15 16373:16374" ht="16" thickBot="1" x14ac:dyDescent="0.25">
      <c r="A134" s="35"/>
      <c r="B134" s="36"/>
      <c r="C134" s="36"/>
      <c r="D134" s="93"/>
      <c r="E134" s="94"/>
      <c r="F134" s="37"/>
      <c r="G134" s="61"/>
      <c r="H134" s="37"/>
      <c r="I134" s="61"/>
      <c r="J134" s="38"/>
      <c r="K134" s="61"/>
      <c r="L134" s="37"/>
      <c r="M134" s="61"/>
      <c r="N134" s="37"/>
      <c r="O134" s="61"/>
      <c r="XES134"/>
      <c r="XET134"/>
    </row>
    <row r="135" spans="1:15 16373:16374" ht="15" x14ac:dyDescent="0.2">
      <c r="A135" s="39">
        <v>460</v>
      </c>
      <c r="B135" s="40"/>
      <c r="C135" s="40" t="s">
        <v>140</v>
      </c>
      <c r="D135" s="95"/>
      <c r="E135" s="96"/>
      <c r="F135" s="41"/>
      <c r="G135" s="62">
        <f>SUM(G30,G46,G60,G102,G111,G119,G124)</f>
        <v>852631.60000000009</v>
      </c>
      <c r="H135" s="41"/>
      <c r="I135" s="62">
        <f>SUM(I30,I46,I60,I102,I111,I119,I124)</f>
        <v>825319.59000000008</v>
      </c>
      <c r="J135" s="41"/>
      <c r="K135" s="62">
        <f>SUM(K30,K46,K60,K102,K111,K119,K124)</f>
        <v>783230.98</v>
      </c>
      <c r="L135" s="41"/>
      <c r="M135" s="62">
        <f>SUM(M30,M46,M60,M102,M111,M119,M124)</f>
        <v>913920.2</v>
      </c>
      <c r="N135" s="41"/>
      <c r="O135" s="62">
        <f>SUM(O30,O46,O60,O102,O111,O119,O124)</f>
        <v>847073.27</v>
      </c>
      <c r="XES135"/>
      <c r="XET135"/>
    </row>
    <row r="136" spans="1:15 16373:16374" ht="15" x14ac:dyDescent="0.2">
      <c r="A136" s="42">
        <v>460</v>
      </c>
      <c r="B136" s="43"/>
      <c r="C136" s="43" t="s">
        <v>141</v>
      </c>
      <c r="D136" s="97"/>
      <c r="E136" s="98"/>
      <c r="F136" s="77">
        <v>0</v>
      </c>
      <c r="G136" s="63">
        <f>-F136*G135</f>
        <v>0</v>
      </c>
      <c r="H136" s="44">
        <v>1</v>
      </c>
      <c r="I136" s="63">
        <f>I135/100*1</f>
        <v>8253.1959000000006</v>
      </c>
      <c r="J136" s="44">
        <v>0</v>
      </c>
      <c r="K136" s="63">
        <f>-J136*K135</f>
        <v>0</v>
      </c>
      <c r="L136" s="44">
        <v>0</v>
      </c>
      <c r="M136" s="63">
        <f>-L136*M135</f>
        <v>0</v>
      </c>
      <c r="N136" s="77">
        <v>0.02</v>
      </c>
      <c r="O136" s="63">
        <f>-N136*O135</f>
        <v>-16941.465400000001</v>
      </c>
      <c r="XES136"/>
      <c r="XET136"/>
    </row>
    <row r="137" spans="1:15 16373:16374" ht="16" thickBot="1" x14ac:dyDescent="0.25">
      <c r="A137" s="45">
        <v>460</v>
      </c>
      <c r="B137" s="46"/>
      <c r="C137" s="46" t="s">
        <v>142</v>
      </c>
      <c r="D137" s="99"/>
      <c r="E137" s="100"/>
      <c r="F137" s="47"/>
      <c r="G137" s="64">
        <f>G135-G136</f>
        <v>852631.60000000009</v>
      </c>
      <c r="H137" s="47"/>
      <c r="I137" s="64">
        <f>I135-I136</f>
        <v>817066.39410000003</v>
      </c>
      <c r="J137" s="47"/>
      <c r="K137" s="64">
        <f>K135-K136</f>
        <v>783230.98</v>
      </c>
      <c r="L137" s="47"/>
      <c r="M137" s="64">
        <f>M135-M136</f>
        <v>913920.2</v>
      </c>
      <c r="N137" s="47"/>
      <c r="O137" s="64">
        <f>O135-O136</f>
        <v>864014.73540000001</v>
      </c>
      <c r="XES137"/>
      <c r="XET137"/>
    </row>
    <row r="138" spans="1:15 16373:16374" ht="15" x14ac:dyDescent="0.2">
      <c r="A138" s="49"/>
      <c r="B138" s="50"/>
      <c r="C138" s="51" t="s">
        <v>160</v>
      </c>
      <c r="D138" s="101"/>
      <c r="E138" s="101"/>
      <c r="F138" s="26"/>
      <c r="G138" s="26"/>
      <c r="H138" s="26"/>
      <c r="I138" s="38" t="s">
        <v>221</v>
      </c>
      <c r="J138" s="26"/>
      <c r="K138" s="26"/>
      <c r="L138" s="26"/>
      <c r="M138" s="26"/>
      <c r="N138" s="26"/>
      <c r="O138" s="26"/>
      <c r="XES138"/>
      <c r="XET138"/>
    </row>
    <row r="139" spans="1:15 16373:16374" ht="15" x14ac:dyDescent="0.2">
      <c r="A139" s="49"/>
      <c r="B139" s="50"/>
      <c r="C139" s="52"/>
      <c r="D139" s="101"/>
      <c r="E139" s="101"/>
      <c r="F139" s="141" t="s">
        <v>215</v>
      </c>
      <c r="G139" s="26"/>
      <c r="H139" s="26"/>
      <c r="I139" s="38" t="s">
        <v>220</v>
      </c>
      <c r="J139" s="141" t="s">
        <v>216</v>
      </c>
      <c r="K139" s="26"/>
      <c r="L139" s="26"/>
      <c r="M139" s="26"/>
      <c r="N139" s="141" t="s">
        <v>216</v>
      </c>
      <c r="O139" s="26"/>
      <c r="XES139"/>
      <c r="XET139"/>
    </row>
    <row r="140" spans="1:15 16373:16374" ht="16" thickBot="1" x14ac:dyDescent="0.25">
      <c r="A140" s="53"/>
      <c r="B140" s="54"/>
      <c r="C140" s="54"/>
      <c r="D140" s="102"/>
      <c r="E140" s="102"/>
      <c r="F140" s="55"/>
      <c r="G140" s="55"/>
      <c r="H140" s="55"/>
      <c r="I140" s="144">
        <v>44748</v>
      </c>
      <c r="J140" s="55"/>
      <c r="K140" s="55"/>
      <c r="L140" s="55"/>
      <c r="M140" s="55"/>
      <c r="N140" s="55"/>
      <c r="O140" s="55"/>
      <c r="XES140"/>
      <c r="XET140"/>
    </row>
    <row r="141" spans="1:15 16373:16374" ht="15" x14ac:dyDescent="0.2">
      <c r="XES141"/>
      <c r="XET141"/>
    </row>
    <row r="142" spans="1:15 16373:16374" ht="15" x14ac:dyDescent="0.2">
      <c r="XES142"/>
      <c r="XET142"/>
    </row>
    <row r="143" spans="1:15 16373:16374" ht="15" x14ac:dyDescent="0.2">
      <c r="XES143"/>
      <c r="XET143"/>
    </row>
    <row r="144" spans="1:15 16373:16374" ht="15" x14ac:dyDescent="0.2">
      <c r="XES144"/>
      <c r="XET144"/>
    </row>
    <row r="145" spans="16373:16374" ht="15" x14ac:dyDescent="0.2">
      <c r="XES145"/>
      <c r="XET145"/>
    </row>
    <row r="146" spans="16373:16374" ht="15" x14ac:dyDescent="0.2">
      <c r="XES146"/>
      <c r="XET146"/>
    </row>
    <row r="147" spans="16373:16374" ht="15" x14ac:dyDescent="0.2">
      <c r="XES147"/>
      <c r="XET147"/>
    </row>
    <row r="148" spans="16373:16374" ht="15" x14ac:dyDescent="0.2">
      <c r="XES148"/>
      <c r="XET148"/>
    </row>
    <row r="149" spans="16373:16374" ht="15" x14ac:dyDescent="0.2">
      <c r="XES149"/>
      <c r="XET149"/>
    </row>
    <row r="150" spans="16373:16374" ht="15" x14ac:dyDescent="0.2">
      <c r="XES150"/>
      <c r="XET150"/>
    </row>
    <row r="151" spans="16373:16374" ht="15" x14ac:dyDescent="0.2">
      <c r="XES151"/>
      <c r="XET151"/>
    </row>
    <row r="152" spans="16373:16374" ht="15" x14ac:dyDescent="0.2">
      <c r="XES152"/>
      <c r="XET152"/>
    </row>
    <row r="153" spans="16373:16374" ht="15" x14ac:dyDescent="0.2">
      <c r="XES153"/>
      <c r="XET153"/>
    </row>
    <row r="154" spans="16373:16374" ht="15" x14ac:dyDescent="0.2">
      <c r="XES154"/>
      <c r="XET154"/>
    </row>
    <row r="155" spans="16373:16374" ht="15" x14ac:dyDescent="0.2">
      <c r="XES155"/>
      <c r="XET155"/>
    </row>
    <row r="156" spans="16373:16374" ht="15" x14ac:dyDescent="0.2">
      <c r="XES156"/>
      <c r="XET156"/>
    </row>
    <row r="157" spans="16373:16374" ht="15" x14ac:dyDescent="0.2">
      <c r="XES157"/>
      <c r="XET157"/>
    </row>
    <row r="158" spans="16373:16374" ht="15" x14ac:dyDescent="0.2">
      <c r="XES158"/>
      <c r="XET158"/>
    </row>
    <row r="159" spans="16373:16374" ht="15" x14ac:dyDescent="0.2">
      <c r="XES159"/>
      <c r="XET159"/>
    </row>
    <row r="160" spans="16373:16374" ht="15" x14ac:dyDescent="0.2">
      <c r="XES160"/>
      <c r="XET160"/>
    </row>
    <row r="161" spans="16373:16374" ht="15" x14ac:dyDescent="0.2">
      <c r="XES161"/>
      <c r="XET161"/>
    </row>
    <row r="162" spans="16373:16374" ht="15" x14ac:dyDescent="0.2">
      <c r="XES162"/>
      <c r="XET162"/>
    </row>
    <row r="163" spans="16373:16374" ht="15" x14ac:dyDescent="0.2">
      <c r="XES163"/>
      <c r="XET163"/>
    </row>
    <row r="164" spans="16373:16374" ht="15" x14ac:dyDescent="0.2">
      <c r="XES164"/>
      <c r="XET164"/>
    </row>
    <row r="165" spans="16373:16374" ht="15" x14ac:dyDescent="0.2">
      <c r="XES165"/>
      <c r="XET165"/>
    </row>
    <row r="166" spans="16373:16374" ht="15" x14ac:dyDescent="0.2">
      <c r="XES166"/>
      <c r="XET166"/>
    </row>
    <row r="167" spans="16373:16374" ht="15" x14ac:dyDescent="0.2">
      <c r="XES167"/>
      <c r="XET167"/>
    </row>
    <row r="168" spans="16373:16374" ht="15" x14ac:dyDescent="0.2">
      <c r="XES168"/>
      <c r="XET168"/>
    </row>
    <row r="169" spans="16373:16374" ht="15" x14ac:dyDescent="0.2">
      <c r="XES169"/>
      <c r="XET169"/>
    </row>
    <row r="170" spans="16373:16374" ht="15" x14ac:dyDescent="0.2">
      <c r="XES170"/>
      <c r="XET170"/>
    </row>
    <row r="171" spans="16373:16374" ht="15" x14ac:dyDescent="0.2">
      <c r="XES171"/>
      <c r="XET171"/>
    </row>
    <row r="172" spans="16373:16374" ht="15" x14ac:dyDescent="0.2">
      <c r="XES172"/>
      <c r="XET172"/>
    </row>
    <row r="173" spans="16373:16374" ht="15" x14ac:dyDescent="0.2">
      <c r="XES173"/>
      <c r="XET173"/>
    </row>
    <row r="174" spans="16373:16374" ht="15" x14ac:dyDescent="0.2">
      <c r="XES174"/>
      <c r="XET174"/>
    </row>
    <row r="175" spans="16373:16374" ht="15" x14ac:dyDescent="0.2">
      <c r="XES175"/>
      <c r="XET175"/>
    </row>
    <row r="176" spans="16373:16374" ht="15" x14ac:dyDescent="0.2">
      <c r="XES176"/>
      <c r="XET176"/>
    </row>
    <row r="177" spans="16373:16374" ht="15" x14ac:dyDescent="0.2">
      <c r="XES177"/>
      <c r="XET177"/>
    </row>
    <row r="178" spans="16373:16374" ht="15" x14ac:dyDescent="0.2">
      <c r="XES178"/>
      <c r="XET178"/>
    </row>
    <row r="179" spans="16373:16374" ht="15" x14ac:dyDescent="0.2">
      <c r="XES179"/>
      <c r="XET179"/>
    </row>
    <row r="180" spans="16373:16374" ht="15" x14ac:dyDescent="0.2">
      <c r="XES180"/>
      <c r="XET180"/>
    </row>
    <row r="181" spans="16373:16374" ht="15" x14ac:dyDescent="0.2">
      <c r="XES181"/>
      <c r="XET181"/>
    </row>
    <row r="182" spans="16373:16374" ht="15" x14ac:dyDescent="0.2">
      <c r="XES182"/>
      <c r="XET182"/>
    </row>
    <row r="183" spans="16373:16374" ht="15" x14ac:dyDescent="0.2">
      <c r="XES183"/>
      <c r="XET183"/>
    </row>
    <row r="184" spans="16373:16374" ht="15" x14ac:dyDescent="0.2">
      <c r="XES184"/>
      <c r="XET184"/>
    </row>
    <row r="185" spans="16373:16374" ht="15" x14ac:dyDescent="0.2">
      <c r="XES185"/>
      <c r="XET185"/>
    </row>
    <row r="186" spans="16373:16374" ht="15" x14ac:dyDescent="0.2">
      <c r="XES186"/>
      <c r="XET186"/>
    </row>
    <row r="187" spans="16373:16374" ht="15" x14ac:dyDescent="0.2">
      <c r="XES187"/>
      <c r="XET187"/>
    </row>
    <row r="188" spans="16373:16374" ht="15" x14ac:dyDescent="0.2">
      <c r="XES188"/>
      <c r="XET188"/>
    </row>
    <row r="189" spans="16373:16374" ht="15" x14ac:dyDescent="0.2">
      <c r="XES189"/>
      <c r="XET189"/>
    </row>
    <row r="190" spans="16373:16374" ht="15" x14ac:dyDescent="0.2">
      <c r="XES190"/>
      <c r="XET190"/>
    </row>
    <row r="191" spans="16373:16374" ht="15" x14ac:dyDescent="0.2">
      <c r="XES191"/>
      <c r="XET191"/>
    </row>
    <row r="192" spans="16373:16374" ht="15" x14ac:dyDescent="0.2">
      <c r="XES192"/>
      <c r="XET192"/>
    </row>
    <row r="193" spans="16373:16374" ht="15" x14ac:dyDescent="0.2">
      <c r="XES193"/>
      <c r="XET193"/>
    </row>
    <row r="194" spans="16373:16374" ht="15" x14ac:dyDescent="0.2">
      <c r="XES194"/>
      <c r="XET194"/>
    </row>
    <row r="195" spans="16373:16374" ht="15" x14ac:dyDescent="0.2">
      <c r="XES195"/>
      <c r="XET195"/>
    </row>
    <row r="196" spans="16373:16374" ht="15" x14ac:dyDescent="0.2">
      <c r="XES196"/>
      <c r="XET196"/>
    </row>
    <row r="197" spans="16373:16374" ht="15" x14ac:dyDescent="0.2">
      <c r="XES197"/>
      <c r="XET197"/>
    </row>
    <row r="198" spans="16373:16374" ht="15" x14ac:dyDescent="0.2">
      <c r="XES198"/>
      <c r="XET198"/>
    </row>
    <row r="199" spans="16373:16374" ht="15" x14ac:dyDescent="0.2">
      <c r="XES199"/>
      <c r="XET199"/>
    </row>
    <row r="200" spans="16373:16374" ht="15" x14ac:dyDescent="0.2">
      <c r="XES200"/>
      <c r="XET200"/>
    </row>
    <row r="201" spans="16373:16374" ht="15" x14ac:dyDescent="0.2">
      <c r="XES201"/>
      <c r="XET201"/>
    </row>
    <row r="202" spans="16373:16374" ht="15" x14ac:dyDescent="0.2">
      <c r="XES202"/>
      <c r="XET202"/>
    </row>
    <row r="203" spans="16373:16374" ht="15" x14ac:dyDescent="0.2">
      <c r="XES203"/>
      <c r="XET203"/>
    </row>
    <row r="204" spans="16373:16374" ht="15" x14ac:dyDescent="0.2">
      <c r="XES204"/>
      <c r="XET204"/>
    </row>
    <row r="205" spans="16373:16374" ht="15" x14ac:dyDescent="0.2">
      <c r="XES205"/>
      <c r="XET205"/>
    </row>
    <row r="206" spans="16373:16374" ht="15" x14ac:dyDescent="0.2">
      <c r="XES206"/>
      <c r="XET206"/>
    </row>
    <row r="207" spans="16373:16374" ht="15" x14ac:dyDescent="0.2">
      <c r="XES207"/>
      <c r="XET207"/>
    </row>
    <row r="208" spans="16373:16374" ht="15" x14ac:dyDescent="0.2">
      <c r="XES208"/>
      <c r="XET208"/>
    </row>
    <row r="209" spans="16373:16374" ht="15" x14ac:dyDescent="0.2">
      <c r="XES209"/>
      <c r="XET209"/>
    </row>
    <row r="210" spans="16373:16374" ht="15" x14ac:dyDescent="0.2">
      <c r="XES210"/>
      <c r="XET210"/>
    </row>
    <row r="211" spans="16373:16374" ht="15" x14ac:dyDescent="0.2">
      <c r="XES211"/>
      <c r="XET211"/>
    </row>
    <row r="212" spans="16373:16374" ht="15" x14ac:dyDescent="0.2">
      <c r="XES212"/>
      <c r="XET212"/>
    </row>
    <row r="213" spans="16373:16374" ht="15" x14ac:dyDescent="0.2">
      <c r="XES213"/>
      <c r="XET213"/>
    </row>
    <row r="214" spans="16373:16374" ht="15" x14ac:dyDescent="0.2">
      <c r="XES214"/>
      <c r="XET214"/>
    </row>
    <row r="215" spans="16373:16374" ht="15" x14ac:dyDescent="0.2">
      <c r="XES215"/>
      <c r="XET215"/>
    </row>
    <row r="216" spans="16373:16374" ht="15" x14ac:dyDescent="0.2">
      <c r="XES216"/>
      <c r="XET216"/>
    </row>
    <row r="217" spans="16373:16374" ht="15" x14ac:dyDescent="0.2">
      <c r="XES217"/>
      <c r="XET217"/>
    </row>
    <row r="218" spans="16373:16374" ht="15" x14ac:dyDescent="0.2">
      <c r="XES218"/>
      <c r="XET218"/>
    </row>
    <row r="219" spans="16373:16374" ht="15" x14ac:dyDescent="0.2">
      <c r="XES219"/>
      <c r="XET219"/>
    </row>
    <row r="220" spans="16373:16374" ht="15" x14ac:dyDescent="0.2">
      <c r="XES220"/>
      <c r="XET220"/>
    </row>
    <row r="221" spans="16373:16374" ht="15" x14ac:dyDescent="0.2">
      <c r="XES221"/>
      <c r="XET221"/>
    </row>
    <row r="222" spans="16373:16374" ht="15" x14ac:dyDescent="0.2">
      <c r="XES222"/>
      <c r="XET222"/>
    </row>
    <row r="223" spans="16373:16374" ht="15" x14ac:dyDescent="0.2">
      <c r="XES223"/>
      <c r="XET223"/>
    </row>
    <row r="224" spans="16373:16374" ht="15" x14ac:dyDescent="0.2">
      <c r="XES224"/>
      <c r="XET224"/>
    </row>
    <row r="225" spans="16373:16374" ht="15" x14ac:dyDescent="0.2">
      <c r="XES225"/>
      <c r="XET225"/>
    </row>
    <row r="226" spans="16373:16374" ht="15" x14ac:dyDescent="0.2">
      <c r="XES226"/>
      <c r="XET226"/>
    </row>
    <row r="227" spans="16373:16374" ht="15" x14ac:dyDescent="0.2">
      <c r="XES227"/>
      <c r="XET227"/>
    </row>
    <row r="228" spans="16373:16374" ht="15" x14ac:dyDescent="0.2">
      <c r="XES228"/>
      <c r="XET228"/>
    </row>
    <row r="229" spans="16373:16374" ht="15" x14ac:dyDescent="0.2">
      <c r="XES229"/>
      <c r="XET229"/>
    </row>
    <row r="230" spans="16373:16374" ht="15" x14ac:dyDescent="0.2">
      <c r="XES230"/>
      <c r="XET230"/>
    </row>
    <row r="231" spans="16373:16374" ht="15" x14ac:dyDescent="0.2">
      <c r="XES231"/>
      <c r="XET231"/>
    </row>
    <row r="232" spans="16373:16374" ht="15" x14ac:dyDescent="0.2">
      <c r="XES232"/>
      <c r="XET232"/>
    </row>
    <row r="233" spans="16373:16374" ht="15" x14ac:dyDescent="0.2">
      <c r="XES233"/>
      <c r="XET233"/>
    </row>
    <row r="234" spans="16373:16374" ht="15" x14ac:dyDescent="0.2">
      <c r="XES234"/>
      <c r="XET234"/>
    </row>
    <row r="235" spans="16373:16374" ht="15" x14ac:dyDescent="0.2">
      <c r="XES235"/>
      <c r="XET235"/>
    </row>
    <row r="236" spans="16373:16374" ht="15" x14ac:dyDescent="0.2">
      <c r="XES236"/>
      <c r="XET236"/>
    </row>
    <row r="237" spans="16373:16374" ht="15" x14ac:dyDescent="0.2">
      <c r="XES237"/>
      <c r="XET237"/>
    </row>
    <row r="238" spans="16373:16374" ht="15" x14ac:dyDescent="0.2">
      <c r="XES238"/>
      <c r="XET238"/>
    </row>
    <row r="239" spans="16373:16374" ht="15" x14ac:dyDescent="0.2">
      <c r="XES239"/>
      <c r="XET239"/>
    </row>
    <row r="240" spans="16373:16374" ht="15" x14ac:dyDescent="0.2">
      <c r="XES240"/>
      <c r="XET240"/>
    </row>
    <row r="241" spans="16373:16374" ht="15" x14ac:dyDescent="0.2">
      <c r="XES241"/>
      <c r="XET241"/>
    </row>
    <row r="242" spans="16373:16374" ht="15" x14ac:dyDescent="0.2">
      <c r="XES242"/>
      <c r="XET242"/>
    </row>
    <row r="243" spans="16373:16374" ht="15" x14ac:dyDescent="0.2">
      <c r="XES243"/>
      <c r="XET243"/>
    </row>
    <row r="244" spans="16373:16374" ht="15" x14ac:dyDescent="0.2">
      <c r="XES244"/>
      <c r="XET244"/>
    </row>
    <row r="245" spans="16373:16374" ht="15" x14ac:dyDescent="0.2">
      <c r="XES245"/>
      <c r="XET245"/>
    </row>
    <row r="246" spans="16373:16374" ht="15" x14ac:dyDescent="0.2">
      <c r="XES246"/>
      <c r="XET246"/>
    </row>
    <row r="247" spans="16373:16374" ht="15" x14ac:dyDescent="0.2">
      <c r="XES247"/>
      <c r="XET247"/>
    </row>
    <row r="248" spans="16373:16374" ht="15" x14ac:dyDescent="0.2">
      <c r="XES248"/>
      <c r="XET248"/>
    </row>
    <row r="249" spans="16373:16374" ht="15" x14ac:dyDescent="0.2">
      <c r="XES249"/>
      <c r="XET249"/>
    </row>
    <row r="250" spans="16373:16374" ht="15" x14ac:dyDescent="0.2">
      <c r="XES250"/>
      <c r="XET250"/>
    </row>
    <row r="251" spans="16373:16374" ht="15" x14ac:dyDescent="0.2">
      <c r="XES251"/>
      <c r="XET251"/>
    </row>
    <row r="252" spans="16373:16374" ht="15" x14ac:dyDescent="0.2">
      <c r="XES252"/>
      <c r="XET252"/>
    </row>
    <row r="253" spans="16373:16374" ht="15" x14ac:dyDescent="0.2">
      <c r="XES253"/>
      <c r="XET253"/>
    </row>
    <row r="254" spans="16373:16374" ht="15" x14ac:dyDescent="0.2">
      <c r="XES254"/>
      <c r="XET254"/>
    </row>
    <row r="255" spans="16373:16374" ht="15" x14ac:dyDescent="0.2">
      <c r="XES255"/>
      <c r="XET255"/>
    </row>
    <row r="256" spans="16373:16374" ht="15" x14ac:dyDescent="0.2">
      <c r="XES256"/>
      <c r="XET256"/>
    </row>
    <row r="257" spans="16373:16374" ht="15" x14ac:dyDescent="0.2">
      <c r="XES257"/>
      <c r="XET257"/>
    </row>
    <row r="258" spans="16373:16374" ht="15" x14ac:dyDescent="0.2">
      <c r="XES258"/>
      <c r="XET258"/>
    </row>
    <row r="259" spans="16373:16374" ht="15" x14ac:dyDescent="0.2">
      <c r="XES259"/>
      <c r="XET259"/>
    </row>
    <row r="260" spans="16373:16374" ht="15" x14ac:dyDescent="0.2">
      <c r="XES260"/>
      <c r="XET260"/>
    </row>
    <row r="261" spans="16373:16374" ht="15" x14ac:dyDescent="0.2">
      <c r="XES261"/>
      <c r="XET261"/>
    </row>
    <row r="262" spans="16373:16374" ht="15" x14ac:dyDescent="0.2">
      <c r="XES262"/>
      <c r="XET262"/>
    </row>
  </sheetData>
  <printOptions gridLines="1"/>
  <pageMargins left="0.70866141732283472" right="0.70866141732283472" top="0.78740157480314965" bottom="0.78740157480314965" header="0.31496062992125984" footer="0.31496062992125984"/>
  <pageSetup paperSize="9" scale="45" fitToHeight="2" orientation="portrait" r:id="rId1"/>
  <headerFooter>
    <oddHeader>&amp;L&amp;"Arial,Fett"&amp;14&amp;UAnlage 7.1 zum VP vom &amp;D&amp;RSeite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Tabelle1</vt:lpstr>
      <vt:lpstr>Tabelle2</vt:lpstr>
      <vt:lpstr>Tabelle1!Druckbereich</vt:lpstr>
      <vt:lpstr>Tabelle2!Druckbereich</vt:lpstr>
      <vt:lpstr>Tabelle1!Drucktitel</vt:lpstr>
      <vt:lpstr>Tabelle2!Drucktitel</vt:lpstr>
    </vt:vector>
  </TitlesOfParts>
  <Company>Adolf Lupp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Steinmetz, Julia</dc:creator>
  <cp:lastModifiedBy>Microsoft Office User</cp:lastModifiedBy>
  <cp:lastPrinted>2022-06-29T12:06:48Z</cp:lastPrinted>
  <dcterms:created xsi:type="dcterms:W3CDTF">2022-05-31T11:47:07Z</dcterms:created>
  <dcterms:modified xsi:type="dcterms:W3CDTF">2022-07-07T06:46:44Z</dcterms:modified>
</cp:coreProperties>
</file>