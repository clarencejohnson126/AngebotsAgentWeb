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Dachdecker Horn\4_01_02_NU-Vertrag\Preisspiegel\"/>
    </mc:Choice>
  </mc:AlternateContent>
  <bookViews>
    <workbookView xWindow="0" yWindow="0" windowWidth="30720" windowHeight="13704"/>
  </bookViews>
  <sheets>
    <sheet name="Tabelle1" sheetId="1" r:id="rId1"/>
  </sheets>
  <definedNames>
    <definedName name="_xlnm.Print_Area" localSheetId="0">Tabelle1!$A$1:$G$541</definedName>
    <definedName name="_xlnm.Print_Titles" localSheetId="0">Tabelle1!$1:$3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89" i="1" l="1"/>
  <c r="I487" i="1"/>
  <c r="I430" i="1"/>
  <c r="I406" i="1"/>
  <c r="I380" i="1"/>
  <c r="I350" i="1"/>
  <c r="I317" i="1"/>
  <c r="I253" i="1"/>
  <c r="I261" i="1"/>
  <c r="I209" i="1"/>
  <c r="I185" i="1"/>
  <c r="I160" i="1"/>
  <c r="I131" i="1"/>
  <c r="I98" i="1"/>
  <c r="I42" i="1"/>
  <c r="I34" i="1"/>
  <c r="I494" i="1"/>
  <c r="I493" i="1"/>
  <c r="I394" i="1"/>
  <c r="I230" i="1"/>
  <c r="I229" i="1"/>
  <c r="I226" i="1"/>
  <c r="I174" i="1"/>
  <c r="I150" i="1"/>
  <c r="I151" i="1"/>
  <c r="I146" i="1"/>
  <c r="I505" i="1"/>
  <c r="I506" i="1" s="1"/>
  <c r="I536" i="1" s="1"/>
  <c r="I502" i="1"/>
  <c r="I501" i="1"/>
  <c r="I500" i="1"/>
  <c r="I499" i="1"/>
  <c r="I496" i="1"/>
  <c r="I495" i="1"/>
  <c r="I492" i="1"/>
  <c r="I491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69" i="1"/>
  <c r="I467" i="1"/>
  <c r="I465" i="1"/>
  <c r="I464" i="1"/>
  <c r="I463" i="1"/>
  <c r="I462" i="1"/>
  <c r="I458" i="1"/>
  <c r="I459" i="1" s="1"/>
  <c r="I531" i="1" s="1"/>
  <c r="I456" i="1"/>
  <c r="I530" i="1" s="1"/>
  <c r="I449" i="1"/>
  <c r="I448" i="1"/>
  <c r="I447" i="1"/>
  <c r="I446" i="1"/>
  <c r="I445" i="1"/>
  <c r="I444" i="1"/>
  <c r="I441" i="1"/>
  <c r="I440" i="1"/>
  <c r="I439" i="1"/>
  <c r="I438" i="1"/>
  <c r="I437" i="1"/>
  <c r="I436" i="1"/>
  <c r="I435" i="1"/>
  <c r="I434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2" i="1"/>
  <c r="I401" i="1"/>
  <c r="I400" i="1"/>
  <c r="I399" i="1"/>
  <c r="I398" i="1"/>
  <c r="I397" i="1"/>
  <c r="I396" i="1"/>
  <c r="I395" i="1"/>
  <c r="I392" i="1"/>
  <c r="I390" i="1"/>
  <c r="I388" i="1"/>
  <c r="I387" i="1"/>
  <c r="I386" i="1"/>
  <c r="I385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48" i="1"/>
  <c r="I347" i="1"/>
  <c r="I346" i="1"/>
  <c r="I345" i="1"/>
  <c r="I344" i="1"/>
  <c r="I343" i="1"/>
  <c r="I342" i="1"/>
  <c r="I341" i="1"/>
  <c r="I340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16" i="1"/>
  <c r="I315" i="1"/>
  <c r="I314" i="1"/>
  <c r="I313" i="1"/>
  <c r="I312" i="1"/>
  <c r="I310" i="1"/>
  <c r="I302" i="1"/>
  <c r="I301" i="1"/>
  <c r="I300" i="1"/>
  <c r="I299" i="1"/>
  <c r="I298" i="1"/>
  <c r="I297" i="1"/>
  <c r="I296" i="1"/>
  <c r="I295" i="1"/>
  <c r="I294" i="1"/>
  <c r="I293" i="1"/>
  <c r="I289" i="1"/>
  <c r="I288" i="1"/>
  <c r="I287" i="1"/>
  <c r="I286" i="1"/>
  <c r="I285" i="1"/>
  <c r="I284" i="1"/>
  <c r="I282" i="1"/>
  <c r="I281" i="1"/>
  <c r="I277" i="1"/>
  <c r="I276" i="1"/>
  <c r="I275" i="1"/>
  <c r="I274" i="1"/>
  <c r="I273" i="1"/>
  <c r="I272" i="1"/>
  <c r="I271" i="1"/>
  <c r="I270" i="1"/>
  <c r="I268" i="1"/>
  <c r="I267" i="1"/>
  <c r="I263" i="1"/>
  <c r="I260" i="1"/>
  <c r="I259" i="1"/>
  <c r="I258" i="1"/>
  <c r="I257" i="1"/>
  <c r="I256" i="1"/>
  <c r="I254" i="1"/>
  <c r="I251" i="1"/>
  <c r="I249" i="1"/>
  <c r="I247" i="1"/>
  <c r="I246" i="1"/>
  <c r="I245" i="1"/>
  <c r="I244" i="1"/>
  <c r="I240" i="1"/>
  <c r="I520" i="1" s="1"/>
  <c r="I239" i="1"/>
  <c r="I237" i="1"/>
  <c r="I519" i="1" s="1"/>
  <c r="I228" i="1"/>
  <c r="I227" i="1"/>
  <c r="I225" i="1"/>
  <c r="I224" i="1"/>
  <c r="I223" i="1"/>
  <c r="I221" i="1"/>
  <c r="I517" i="1" s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1" i="1"/>
  <c r="I180" i="1"/>
  <c r="I179" i="1"/>
  <c r="I178" i="1"/>
  <c r="I177" i="1"/>
  <c r="I176" i="1"/>
  <c r="I175" i="1"/>
  <c r="I172" i="1"/>
  <c r="I170" i="1"/>
  <c r="I168" i="1"/>
  <c r="I167" i="1"/>
  <c r="I166" i="1"/>
  <c r="I165" i="1"/>
  <c r="I156" i="1"/>
  <c r="I155" i="1"/>
  <c r="I154" i="1"/>
  <c r="I153" i="1"/>
  <c r="I152" i="1"/>
  <c r="I149" i="1"/>
  <c r="I148" i="1"/>
  <c r="I147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27" i="1"/>
  <c r="I126" i="1"/>
  <c r="I125" i="1"/>
  <c r="I124" i="1"/>
  <c r="I123" i="1"/>
  <c r="I122" i="1"/>
  <c r="I121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97" i="1"/>
  <c r="I96" i="1"/>
  <c r="I95" i="1"/>
  <c r="I94" i="1"/>
  <c r="I93" i="1"/>
  <c r="I91" i="1"/>
  <c r="I83" i="1"/>
  <c r="I82" i="1"/>
  <c r="I81" i="1"/>
  <c r="I80" i="1"/>
  <c r="I79" i="1"/>
  <c r="I78" i="1"/>
  <c r="I77" i="1"/>
  <c r="I76" i="1"/>
  <c r="I75" i="1"/>
  <c r="I74" i="1"/>
  <c r="I70" i="1"/>
  <c r="I69" i="1"/>
  <c r="I68" i="1"/>
  <c r="I67" i="1"/>
  <c r="I66" i="1"/>
  <c r="I65" i="1"/>
  <c r="I63" i="1"/>
  <c r="I62" i="1"/>
  <c r="I58" i="1"/>
  <c r="I57" i="1"/>
  <c r="I56" i="1"/>
  <c r="I55" i="1"/>
  <c r="I54" i="1"/>
  <c r="I53" i="1"/>
  <c r="I52" i="1"/>
  <c r="I51" i="1"/>
  <c r="I49" i="1"/>
  <c r="I48" i="1"/>
  <c r="I44" i="1"/>
  <c r="I41" i="1"/>
  <c r="I40" i="1"/>
  <c r="I39" i="1"/>
  <c r="I38" i="1"/>
  <c r="I37" i="1"/>
  <c r="I35" i="1"/>
  <c r="I32" i="1"/>
  <c r="I30" i="1"/>
  <c r="I28" i="1"/>
  <c r="I27" i="1"/>
  <c r="I26" i="1"/>
  <c r="I25" i="1"/>
  <c r="I22" i="1"/>
  <c r="I510" i="1" s="1"/>
  <c r="I12" i="1"/>
  <c r="I13" i="1" s="1"/>
  <c r="I509" i="1" s="1"/>
  <c r="I503" i="1" l="1"/>
  <c r="I535" i="1" s="1"/>
  <c r="I497" i="1"/>
  <c r="I534" i="1" s="1"/>
  <c r="I533" i="1"/>
  <c r="I162" i="1"/>
  <c r="I515" i="1" s="1"/>
  <c r="I382" i="1"/>
  <c r="I526" i="1" s="1"/>
  <c r="I432" i="1"/>
  <c r="I527" i="1" s="1"/>
  <c r="I211" i="1"/>
  <c r="I516" i="1" s="1"/>
  <c r="I45" i="1"/>
  <c r="I511" i="1" s="1"/>
  <c r="I59" i="1"/>
  <c r="I512" i="1" s="1"/>
  <c r="I71" i="1"/>
  <c r="I513" i="1" s="1"/>
  <c r="I100" i="1"/>
  <c r="I514" i="1" s="1"/>
  <c r="I442" i="1"/>
  <c r="I528" i="1" s="1"/>
  <c r="I231" i="1"/>
  <c r="I518" i="1" s="1"/>
  <c r="I264" i="1"/>
  <c r="I522" i="1" s="1"/>
  <c r="I278" i="1"/>
  <c r="I523" i="1" s="1"/>
  <c r="I290" i="1"/>
  <c r="I524" i="1" s="1"/>
  <c r="I319" i="1"/>
  <c r="I525" i="1" s="1"/>
  <c r="I450" i="1"/>
  <c r="I529" i="1" s="1"/>
  <c r="H537" i="1" l="1"/>
  <c r="H532" i="1"/>
  <c r="I539" i="1"/>
  <c r="I540" i="1" s="1"/>
  <c r="I541" i="1" s="1"/>
  <c r="H521" i="1"/>
  <c r="G488" i="1"/>
  <c r="G431" i="1"/>
  <c r="G407" i="1"/>
  <c r="G381" i="1"/>
  <c r="G351" i="1"/>
  <c r="G262" i="1"/>
  <c r="G210" i="1"/>
  <c r="G186" i="1"/>
  <c r="G161" i="1"/>
  <c r="G132" i="1"/>
  <c r="G43" i="1"/>
  <c r="C536" i="1"/>
  <c r="C535" i="1"/>
  <c r="C534" i="1"/>
  <c r="C533" i="1"/>
  <c r="C531" i="1"/>
  <c r="C530" i="1"/>
  <c r="C529" i="1"/>
  <c r="C528" i="1"/>
  <c r="C527" i="1"/>
  <c r="C526" i="1"/>
  <c r="C525" i="1"/>
  <c r="C524" i="1"/>
  <c r="C523" i="1"/>
  <c r="C522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A536" i="1"/>
  <c r="A535" i="1"/>
  <c r="A534" i="1"/>
  <c r="A533" i="1"/>
  <c r="A531" i="1"/>
  <c r="A530" i="1"/>
  <c r="A529" i="1"/>
  <c r="A528" i="1"/>
  <c r="A527" i="1"/>
  <c r="A526" i="1"/>
  <c r="A525" i="1"/>
  <c r="A524" i="1"/>
  <c r="A523" i="1"/>
  <c r="A522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G22" i="1"/>
  <c r="G510" i="1" s="1"/>
  <c r="G25" i="1"/>
  <c r="G26" i="1"/>
  <c r="G27" i="1"/>
  <c r="G28" i="1"/>
  <c r="G30" i="1"/>
  <c r="G32" i="1"/>
  <c r="G35" i="1"/>
  <c r="G37" i="1"/>
  <c r="G38" i="1"/>
  <c r="G39" i="1"/>
  <c r="G40" i="1"/>
  <c r="G41" i="1"/>
  <c r="G44" i="1"/>
  <c r="G48" i="1"/>
  <c r="G49" i="1"/>
  <c r="G51" i="1"/>
  <c r="G52" i="1"/>
  <c r="G53" i="1"/>
  <c r="G54" i="1"/>
  <c r="G55" i="1"/>
  <c r="G56" i="1"/>
  <c r="G57" i="1"/>
  <c r="G58" i="1"/>
  <c r="G62" i="1"/>
  <c r="G63" i="1"/>
  <c r="G65" i="1"/>
  <c r="G66" i="1"/>
  <c r="G67" i="1"/>
  <c r="G68" i="1"/>
  <c r="G69" i="1"/>
  <c r="G70" i="1"/>
  <c r="G74" i="1"/>
  <c r="G75" i="1"/>
  <c r="G76" i="1"/>
  <c r="G77" i="1"/>
  <c r="G78" i="1"/>
  <c r="G79" i="1"/>
  <c r="G80" i="1"/>
  <c r="G81" i="1"/>
  <c r="G82" i="1"/>
  <c r="G83" i="1"/>
  <c r="G91" i="1"/>
  <c r="G93" i="1"/>
  <c r="G94" i="1"/>
  <c r="G95" i="1"/>
  <c r="G96" i="1"/>
  <c r="G97" i="1"/>
  <c r="G99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1" i="1"/>
  <c r="G122" i="1"/>
  <c r="G123" i="1"/>
  <c r="G124" i="1"/>
  <c r="G125" i="1"/>
  <c r="G126" i="1"/>
  <c r="G127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7" i="1"/>
  <c r="G148" i="1"/>
  <c r="G149" i="1"/>
  <c r="G152" i="1"/>
  <c r="G153" i="1"/>
  <c r="G154" i="1"/>
  <c r="G155" i="1"/>
  <c r="G156" i="1"/>
  <c r="G165" i="1"/>
  <c r="G166" i="1"/>
  <c r="G167" i="1"/>
  <c r="G168" i="1"/>
  <c r="G170" i="1"/>
  <c r="G172" i="1"/>
  <c r="G175" i="1"/>
  <c r="G176" i="1"/>
  <c r="G177" i="1"/>
  <c r="G178" i="1"/>
  <c r="G179" i="1"/>
  <c r="G180" i="1"/>
  <c r="G181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23" i="1"/>
  <c r="G224" i="1"/>
  <c r="G225" i="1"/>
  <c r="G227" i="1"/>
  <c r="G228" i="1"/>
  <c r="G239" i="1"/>
  <c r="G240" i="1" s="1"/>
  <c r="G520" i="1" s="1"/>
  <c r="G244" i="1"/>
  <c r="G245" i="1"/>
  <c r="G246" i="1"/>
  <c r="G247" i="1"/>
  <c r="G249" i="1"/>
  <c r="G251" i="1"/>
  <c r="G254" i="1"/>
  <c r="G256" i="1"/>
  <c r="G257" i="1"/>
  <c r="G258" i="1"/>
  <c r="G259" i="1"/>
  <c r="G260" i="1"/>
  <c r="G263" i="1"/>
  <c r="G267" i="1"/>
  <c r="G268" i="1"/>
  <c r="G270" i="1"/>
  <c r="G271" i="1"/>
  <c r="G272" i="1"/>
  <c r="G273" i="1"/>
  <c r="G274" i="1"/>
  <c r="G275" i="1"/>
  <c r="G276" i="1"/>
  <c r="G277" i="1"/>
  <c r="G281" i="1"/>
  <c r="G282" i="1"/>
  <c r="G284" i="1"/>
  <c r="G285" i="1"/>
  <c r="G286" i="1"/>
  <c r="G287" i="1"/>
  <c r="G288" i="1"/>
  <c r="G289" i="1"/>
  <c r="G293" i="1"/>
  <c r="G294" i="1"/>
  <c r="G295" i="1"/>
  <c r="G296" i="1"/>
  <c r="G297" i="1"/>
  <c r="G298" i="1"/>
  <c r="G299" i="1"/>
  <c r="G300" i="1"/>
  <c r="G301" i="1"/>
  <c r="G302" i="1"/>
  <c r="G310" i="1"/>
  <c r="G312" i="1"/>
  <c r="G313" i="1"/>
  <c r="G314" i="1"/>
  <c r="G315" i="1"/>
  <c r="G316" i="1"/>
  <c r="G318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40" i="1"/>
  <c r="G341" i="1"/>
  <c r="G342" i="1"/>
  <c r="G343" i="1"/>
  <c r="G344" i="1"/>
  <c r="G345" i="1"/>
  <c r="G346" i="1"/>
  <c r="G347" i="1"/>
  <c r="G348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85" i="1"/>
  <c r="G386" i="1"/>
  <c r="G387" i="1"/>
  <c r="G388" i="1"/>
  <c r="G390" i="1"/>
  <c r="G392" i="1"/>
  <c r="G395" i="1"/>
  <c r="G396" i="1"/>
  <c r="G397" i="1"/>
  <c r="G398" i="1"/>
  <c r="G399" i="1"/>
  <c r="G400" i="1"/>
  <c r="G401" i="1"/>
  <c r="G402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34" i="1"/>
  <c r="G435" i="1"/>
  <c r="G436" i="1"/>
  <c r="G437" i="1"/>
  <c r="G438" i="1"/>
  <c r="G439" i="1"/>
  <c r="G440" i="1"/>
  <c r="G441" i="1"/>
  <c r="G444" i="1"/>
  <c r="G445" i="1"/>
  <c r="G446" i="1"/>
  <c r="G447" i="1"/>
  <c r="G448" i="1"/>
  <c r="G449" i="1"/>
  <c r="G458" i="1"/>
  <c r="G459" i="1" s="1"/>
  <c r="G531" i="1" s="1"/>
  <c r="G462" i="1"/>
  <c r="G463" i="1"/>
  <c r="G464" i="1"/>
  <c r="G465" i="1"/>
  <c r="G467" i="1"/>
  <c r="G469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91" i="1"/>
  <c r="G492" i="1"/>
  <c r="G495" i="1"/>
  <c r="G496" i="1"/>
  <c r="G499" i="1"/>
  <c r="G500" i="1"/>
  <c r="G501" i="1"/>
  <c r="G502" i="1"/>
  <c r="G505" i="1"/>
  <c r="G506" i="1" s="1"/>
  <c r="G536" i="1" s="1"/>
  <c r="G12" i="1"/>
  <c r="G13" i="1" s="1"/>
  <c r="G509" i="1" s="1"/>
  <c r="G497" i="1" l="1"/>
  <c r="G534" i="1" s="1"/>
  <c r="G489" i="1"/>
  <c r="G533" i="1" s="1"/>
  <c r="G432" i="1"/>
  <c r="G527" i="1" s="1"/>
  <c r="G319" i="1"/>
  <c r="G525" i="1" s="1"/>
  <c r="G290" i="1"/>
  <c r="G524" i="1" s="1"/>
  <c r="G264" i="1"/>
  <c r="G522" i="1" s="1"/>
  <c r="G211" i="1"/>
  <c r="G516" i="1" s="1"/>
  <c r="G278" i="1"/>
  <c r="G523" i="1" s="1"/>
  <c r="G382" i="1"/>
  <c r="G526" i="1" s="1"/>
  <c r="G231" i="1"/>
  <c r="G518" i="1" s="1"/>
  <c r="G162" i="1"/>
  <c r="G515" i="1" s="1"/>
  <c r="G71" i="1"/>
  <c r="G513" i="1" s="1"/>
  <c r="G59" i="1"/>
  <c r="G512" i="1" s="1"/>
  <c r="G100" i="1"/>
  <c r="G514" i="1" s="1"/>
  <c r="G45" i="1"/>
  <c r="G511" i="1" s="1"/>
  <c r="G221" i="1"/>
  <c r="G517" i="1" s="1"/>
  <c r="G237" i="1"/>
  <c r="G519" i="1" s="1"/>
  <c r="G450" i="1"/>
  <c r="G529" i="1" s="1"/>
  <c r="G503" i="1"/>
  <c r="G535" i="1" s="1"/>
  <c r="G456" i="1"/>
  <c r="G530" i="1" s="1"/>
  <c r="G442" i="1"/>
  <c r="G528" i="1" s="1"/>
  <c r="F532" i="1" l="1"/>
  <c r="F537" i="1"/>
  <c r="F521" i="1"/>
  <c r="G539" i="1"/>
  <c r="G540" i="1" s="1"/>
  <c r="G541" i="1" s="1"/>
</calcChain>
</file>

<file path=xl/sharedStrings.xml><?xml version="1.0" encoding="utf-8"?>
<sst xmlns="http://schemas.openxmlformats.org/spreadsheetml/2006/main" count="1615" uniqueCount="621">
  <si>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</si>
  <si>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</si>
  <si>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</si>
  <si>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</si>
  <si>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</si>
  <si>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</si>
  <si>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</si>
  <si>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</si>
  <si>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</si>
  <si>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</si>
  <si>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</si>
  <si>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</si>
  <si>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</si>
  <si>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</si>
  <si>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</si>
  <si>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</si>
  <si>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</si>
  <si>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 xml:space="preserve"> 4.</t>
  </si>
  <si>
    <t xml:space="preserve"> 4. 2. 1. 1.</t>
  </si>
  <si>
    <t xml:space="preserve"> 4. 2. 1. 1.  10. </t>
  </si>
  <si>
    <t xml:space="preserve"> 4. 2. 2. 1.</t>
  </si>
  <si>
    <t xml:space="preserve"> 4. 2. 2. 1.  10. </t>
  </si>
  <si>
    <t xml:space="preserve"> 4. 2. 2. 1.  20. </t>
  </si>
  <si>
    <t xml:space="preserve"> 4. 2. 2. 1.  30. </t>
  </si>
  <si>
    <t xml:space="preserve"> 4. 2. 2. 1.  40. </t>
  </si>
  <si>
    <t xml:space="preserve"> 4. 2. 2. 1.  50. </t>
  </si>
  <si>
    <t xml:space="preserve"> 4. 2. 2. 1.  60. </t>
  </si>
  <si>
    <t xml:space="preserve"> 4. 2. 2. 1.  70. </t>
  </si>
  <si>
    <t xml:space="preserve"> 4. 2. 3.</t>
  </si>
  <si>
    <t xml:space="preserve"> 4. 2. 3.  .  10. </t>
  </si>
  <si>
    <t xml:space="preserve"> 4. 2. 3.  .  20. </t>
  </si>
  <si>
    <t xml:space="preserve"> 4. 2. 3.  .  30. </t>
  </si>
  <si>
    <t xml:space="preserve"> 4. 2. 3.  .  40. </t>
  </si>
  <si>
    <t xml:space="preserve"> 4. 2. 3.  .  50. </t>
  </si>
  <si>
    <t xml:space="preserve"> 4. 2. 3.  .  60. </t>
  </si>
  <si>
    <t xml:space="preserve"> 4. 2. 3.  .  70. </t>
  </si>
  <si>
    <t xml:space="preserve"> 4. 2. 3.  .  80. </t>
  </si>
  <si>
    <t xml:space="preserve"> 4. 2. 3.  .  90. </t>
  </si>
  <si>
    <t xml:space="preserve"> 4. 2. 3.  . 100. </t>
  </si>
  <si>
    <t xml:space="preserve"> 4. 2. 3.  . 110. </t>
  </si>
  <si>
    <t xml:space="preserve"> 4. 2. 3.  . 120. </t>
  </si>
  <si>
    <t xml:space="preserve"> 4. 2. 3.  . 130. </t>
  </si>
  <si>
    <t xml:space="preserve"> 4. 2. 3.  . 140. </t>
  </si>
  <si>
    <t xml:space="preserve"> 4. 2. 3.  . 150. </t>
  </si>
  <si>
    <t xml:space="preserve"> 4. 2. 4.</t>
  </si>
  <si>
    <t xml:space="preserve"> 4. 2. 4.  .  10. </t>
  </si>
  <si>
    <t xml:space="preserve"> 4. 2. 4.  .  20. </t>
  </si>
  <si>
    <t xml:space="preserve"> 4. 2. 4.  .  30. </t>
  </si>
  <si>
    <t xml:space="preserve"> 4. 2. 4.  .  40. </t>
  </si>
  <si>
    <t xml:space="preserve"> 4. 2. 4.  .  50. </t>
  </si>
  <si>
    <t xml:space="preserve"> 4. 2. 4.  .  60. </t>
  </si>
  <si>
    <t xml:space="preserve"> 4. 2. 4.  .  70. </t>
  </si>
  <si>
    <t xml:space="preserve"> 4. 2. 4.  .  80. </t>
  </si>
  <si>
    <t xml:space="preserve"> 4. 2. 4.  .  90. </t>
  </si>
  <si>
    <t xml:space="preserve"> 4. 2. 4.  . 100. </t>
  </si>
  <si>
    <t xml:space="preserve"> 4. 2. 5.</t>
  </si>
  <si>
    <t xml:space="preserve"> 4. 2. 5.  .  10. </t>
  </si>
  <si>
    <t xml:space="preserve"> 4. 2. 5.  .  20. </t>
  </si>
  <si>
    <t xml:space="preserve"> 4. 2. 5.  .  30. </t>
  </si>
  <si>
    <t xml:space="preserve"> 4. 2. 5.  .  40. </t>
  </si>
  <si>
    <t xml:space="preserve"> 4. 2. 5.  .  50. </t>
  </si>
  <si>
    <t xml:space="preserve"> 4. 2. 5.  .  60. </t>
  </si>
  <si>
    <t xml:space="preserve"> 4. 2. 5.  .  70. </t>
  </si>
  <si>
    <t xml:space="preserve"> 4. 2. 5.  .  80. </t>
  </si>
  <si>
    <t xml:space="preserve"> 4. 2. 6.</t>
  </si>
  <si>
    <t xml:space="preserve"> 4. 2. 6.  .  10. </t>
  </si>
  <si>
    <t xml:space="preserve"> 4. 2. 6.  .  20. </t>
  </si>
  <si>
    <t xml:space="preserve"> 4. 2. 6.  .  30. </t>
  </si>
  <si>
    <t xml:space="preserve"> 4. 2. 6.  .  40. </t>
  </si>
  <si>
    <t xml:space="preserve"> 4. 2. 6.  .  50. </t>
  </si>
  <si>
    <t xml:space="preserve"> 4. 2. 6.  .  60. </t>
  </si>
  <si>
    <t xml:space="preserve"> 4. 2. 6.  .  70. </t>
  </si>
  <si>
    <t xml:space="preserve"> 4. 2. 6.  .  80. </t>
  </si>
  <si>
    <t xml:space="preserve"> 4. 2. 6.  .  90. </t>
  </si>
  <si>
    <t xml:space="preserve"> 4. 2. 6.  . 100. </t>
  </si>
  <si>
    <t xml:space="preserve"> 4. 2. 6.  . 110. </t>
  </si>
  <si>
    <t xml:space="preserve"> 4. 2. 6.  . 120. </t>
  </si>
  <si>
    <t xml:space="preserve"> 4. 2. 6.  . 130. </t>
  </si>
  <si>
    <t xml:space="preserve"> 4. 2. 6.  . 140. </t>
  </si>
  <si>
    <t xml:space="preserve"> 4. 2. 6.  . 150. </t>
  </si>
  <si>
    <t xml:space="preserve"> 4. 2. 6.  . 160. </t>
  </si>
  <si>
    <t xml:space="preserve"> 4. 2. 6.  . 170. </t>
  </si>
  <si>
    <t xml:space="preserve"> 4. 2. 6.  . 180. </t>
  </si>
  <si>
    <t xml:space="preserve"> 4. 2. 6.  . 190. </t>
  </si>
  <si>
    <t xml:space="preserve"> 4. 2. 6.  . 200. </t>
  </si>
  <si>
    <t xml:space="preserve"> 4. 2. 6.  . 210. </t>
  </si>
  <si>
    <t xml:space="preserve"> 4. 2. 6.  . 220. </t>
  </si>
  <si>
    <t xml:space="preserve"> 4. 2. 6.  . 230. </t>
  </si>
  <si>
    <t xml:space="preserve"> 4. 2. 6.  . 240. </t>
  </si>
  <si>
    <t xml:space="preserve"> 4. 2. 7.</t>
  </si>
  <si>
    <t xml:space="preserve"> 4. 2. 7.  .  10. </t>
  </si>
  <si>
    <t xml:space="preserve"> 4. 2. 7.  .  20. </t>
  </si>
  <si>
    <t xml:space="preserve"> 4. 2. 7.  .  30. </t>
  </si>
  <si>
    <t xml:space="preserve"> 4. 2. 7.  .  40. </t>
  </si>
  <si>
    <t xml:space="preserve"> 4. 2. 7.  .  50. </t>
  </si>
  <si>
    <t xml:space="preserve"> 4. 2. 7.  .  60. </t>
  </si>
  <si>
    <t xml:space="preserve"> 4. 2. 7.  .  70. </t>
  </si>
  <si>
    <t xml:space="preserve"> 4. 2. 7.  .  80. </t>
  </si>
  <si>
    <t xml:space="preserve"> 4. 2. 7.  .  90. </t>
  </si>
  <si>
    <t xml:space="preserve"> 4. 2. 7.  . 100. </t>
  </si>
  <si>
    <t xml:space="preserve"> 4. 2. 7.  . 110. </t>
  </si>
  <si>
    <t xml:space="preserve"> 4. 2. 7.  . 120. </t>
  </si>
  <si>
    <t xml:space="preserve"> 4. 2. 7.  . 130. </t>
  </si>
  <si>
    <t xml:space="preserve"> 4. 2. 7.  . 140. </t>
  </si>
  <si>
    <t xml:space="preserve"> 4. 2. 7.  . 140.0</t>
  </si>
  <si>
    <t xml:space="preserve"> 4. 2. 7.  . 141. </t>
  </si>
  <si>
    <t xml:space="preserve"> 4. 2. 7.  . 142. </t>
  </si>
  <si>
    <t xml:space="preserve"> 4. 2. 7.  . 150. </t>
  </si>
  <si>
    <t xml:space="preserve"> 4. 2. 7.  . 160. </t>
  </si>
  <si>
    <t xml:space="preserve"> 4. 2. 7.  . 190. </t>
  </si>
  <si>
    <t xml:space="preserve"> 4. 2. 7.  . 200. </t>
  </si>
  <si>
    <t xml:space="preserve"> 4. 2. 7.  . 210. </t>
  </si>
  <si>
    <t xml:space="preserve"> 4. 2. 7.  . 220. </t>
  </si>
  <si>
    <t xml:space="preserve"> 4. 2. 7.  . 230. </t>
  </si>
  <si>
    <t xml:space="preserve"> 4. 2. 7.  . 240. </t>
  </si>
  <si>
    <t xml:space="preserve"> 4. 2. 7.  . 250. </t>
  </si>
  <si>
    <t xml:space="preserve"> 4. 2. 7.  . 260. </t>
  </si>
  <si>
    <t xml:space="preserve"> 4. 2. 7.  . 270. </t>
  </si>
  <si>
    <t xml:space="preserve"> 4. 2. 7.  . 271. </t>
  </si>
  <si>
    <t xml:space="preserve"> 4. 2. 7.  . 272. </t>
  </si>
  <si>
    <t xml:space="preserve"> 4. 2. 7.  . 273. </t>
  </si>
  <si>
    <t xml:space="preserve"> 4. 2. 7.  . 274. </t>
  </si>
  <si>
    <t xml:space="preserve"> 4. 2. 7.  . 275. </t>
  </si>
  <si>
    <t xml:space="preserve"> 4. 2. 7.  . 276. </t>
  </si>
  <si>
    <t xml:space="preserve"> 4. 2. 7.  . 277. </t>
  </si>
  <si>
    <t xml:space="preserve"> 4. 2. 7.  . 277.0</t>
  </si>
  <si>
    <t xml:space="preserve"> 4. 2. 7.  . 278. </t>
  </si>
  <si>
    <t xml:space="preserve"> 4. 2. 7.  . 279. </t>
  </si>
  <si>
    <t xml:space="preserve"> 4. 2. 7.  . 280. </t>
  </si>
  <si>
    <t xml:space="preserve"> 4. 2. 7.  . 281. </t>
  </si>
  <si>
    <t xml:space="preserve"> 4. 2. 7.  . 281.0</t>
  </si>
  <si>
    <t xml:space="preserve"> 4. 2. 7.  . 282. </t>
  </si>
  <si>
    <t xml:space="preserve"> 4. 2. 7.  . 282.0</t>
  </si>
  <si>
    <t xml:space="preserve"> 4. 2. 7.  . 283. </t>
  </si>
  <si>
    <t xml:space="preserve"> 4. 2. 7.  . 284. </t>
  </si>
  <si>
    <t xml:space="preserve"> 4. 2. 7.  . 285. </t>
  </si>
  <si>
    <t xml:space="preserve"> 4. 2. 7.  . 286. </t>
  </si>
  <si>
    <t xml:space="preserve"> 4. 2. 7.  . 287. </t>
  </si>
  <si>
    <t xml:space="preserve"> 4. 2. 7.  . 288. </t>
  </si>
  <si>
    <t xml:space="preserve"> 4. 2. 7.  . 289. </t>
  </si>
  <si>
    <t xml:space="preserve"> 4. 2. 7.  . 290. </t>
  </si>
  <si>
    <t xml:space="preserve"> 4. 2. 7.  . 291. </t>
  </si>
  <si>
    <t xml:space="preserve"> 4. 2. 7.  . 292. </t>
  </si>
  <si>
    <t xml:space="preserve"> 4. 2. 7.  . 293. </t>
  </si>
  <si>
    <t xml:space="preserve"> 4. 2. 7.  . 294. </t>
  </si>
  <si>
    <t xml:space="preserve"> 4. 2. 8.</t>
  </si>
  <si>
    <t xml:space="preserve"> 4. 2. 8.  .  10. </t>
  </si>
  <si>
    <t xml:space="preserve"> 4. 2. 8.  .  11. </t>
  </si>
  <si>
    <t xml:space="preserve"> 4. 2. 8.  .  12. </t>
  </si>
  <si>
    <t xml:space="preserve"> 4. 2. 8.  .  13. </t>
  </si>
  <si>
    <t xml:space="preserve"> 4. 2. 8.  .  14. </t>
  </si>
  <si>
    <t xml:space="preserve"> 4. 2. 8.  .  15. </t>
  </si>
  <si>
    <t xml:space="preserve"> 4. 2. 8.  .  20. </t>
  </si>
  <si>
    <t xml:space="preserve"> 4. 2. 8.  .  30. </t>
  </si>
  <si>
    <t xml:space="preserve"> 4. 2. 8.  .  40. </t>
  </si>
  <si>
    <t xml:space="preserve"> 4. 2. 8.  .  50. </t>
  </si>
  <si>
    <t xml:space="preserve"> 4. 2. 8.  .  60. </t>
  </si>
  <si>
    <t xml:space="preserve"> 4. 2. 8.  .  70. </t>
  </si>
  <si>
    <t xml:space="preserve"> 4. 2. 8.  .  80. </t>
  </si>
  <si>
    <t xml:space="preserve"> 4. 2. 8.  .  90. </t>
  </si>
  <si>
    <t xml:space="preserve"> 4. 2. 8.  . 100. </t>
  </si>
  <si>
    <t xml:space="preserve"> 4. 2. 8.  . 110. </t>
  </si>
  <si>
    <t xml:space="preserve"> 4. 2. 8.  . 120. </t>
  </si>
  <si>
    <t xml:space="preserve"> 4. 2. 8.  . 130. </t>
  </si>
  <si>
    <t xml:space="preserve"> 4. 2. 8.  . 131. </t>
  </si>
  <si>
    <t xml:space="preserve"> 4. 2. 8.  . 132. </t>
  </si>
  <si>
    <t xml:space="preserve"> 4. 2. 8.  . 133. </t>
  </si>
  <si>
    <t xml:space="preserve"> 4. 2. 8.  . 134. </t>
  </si>
  <si>
    <t xml:space="preserve"> 4. 2. 8.  . 135. </t>
  </si>
  <si>
    <t xml:space="preserve"> 4. 2. 8.  . 136. </t>
  </si>
  <si>
    <t xml:space="preserve"> 4. 2. 8.  . 137. </t>
  </si>
  <si>
    <t xml:space="preserve"> 4. 2. 8.  . 138. </t>
  </si>
  <si>
    <t xml:space="preserve"> 4. 2. 8.  . 139. </t>
  </si>
  <si>
    <t xml:space="preserve"> 4. 2. 8.  . 140. </t>
  </si>
  <si>
    <t xml:space="preserve"> 4. 2. 8.  . 141. </t>
  </si>
  <si>
    <t xml:space="preserve"> 4. 2. 8.  . 142. </t>
  </si>
  <si>
    <t xml:space="preserve"> 4. 2. 8.  . 143. </t>
  </si>
  <si>
    <t xml:space="preserve"> 4. 2. 8.  . 145. </t>
  </si>
  <si>
    <t xml:space="preserve"> 4. 2. 8.  . 146. </t>
  </si>
  <si>
    <t xml:space="preserve"> 4. 2. 8.  . 147. </t>
  </si>
  <si>
    <t xml:space="preserve"> 4. 2. 8.  . 148. </t>
  </si>
  <si>
    <t xml:space="preserve"> 4. 2. 8.  . 149. </t>
  </si>
  <si>
    <t xml:space="preserve"> 4. 2. 8.  . 150. </t>
  </si>
  <si>
    <t xml:space="preserve"> 4. 2. 8.  . 151. </t>
  </si>
  <si>
    <t xml:space="preserve"> 4. 2. 8.  . 152. </t>
  </si>
  <si>
    <t xml:space="preserve"> 4. 2. 8.  . 153. </t>
  </si>
  <si>
    <t xml:space="preserve"> 4. 2. 9.</t>
  </si>
  <si>
    <t xml:space="preserve"> 4. 2. 9.  .  10. </t>
  </si>
  <si>
    <t xml:space="preserve"> 4. 2. 9.  .  20. </t>
  </si>
  <si>
    <t xml:space="preserve"> 4. 2. 9.  .  30. </t>
  </si>
  <si>
    <t xml:space="preserve"> 4. 2. 9.  .  40. </t>
  </si>
  <si>
    <t xml:space="preserve"> 4. 2. 9.  .  50. </t>
  </si>
  <si>
    <t xml:space="preserve"> 4. 2. 9.  .  60. </t>
  </si>
  <si>
    <t xml:space="preserve"> 4. 2. 9.  .  70. </t>
  </si>
  <si>
    <t xml:space="preserve"> 4. 2. 9.  .  80. </t>
  </si>
  <si>
    <t xml:space="preserve"> 4. 2.10. 1.</t>
  </si>
  <si>
    <t xml:space="preserve"> 4. 2.10. 1.  10. </t>
  </si>
  <si>
    <t xml:space="preserve"> 4. 2.10. 1.  20. </t>
  </si>
  <si>
    <t xml:space="preserve"> 4. 2.10. 1.  30. </t>
  </si>
  <si>
    <t xml:space="preserve"> 4. 2.10. 1.  40. </t>
  </si>
  <si>
    <t xml:space="preserve"> 4. 2.10. 1.  50. </t>
  </si>
  <si>
    <t xml:space="preserve"> 4. 2.10. 1.  60. </t>
  </si>
  <si>
    <t xml:space="preserve"> 4. 2.10. 1.  70. </t>
  </si>
  <si>
    <t xml:space="preserve"> 4. 2.10. 1.  80. </t>
  </si>
  <si>
    <t xml:space="preserve"> 4. 2.10. 2.</t>
  </si>
  <si>
    <t xml:space="preserve"> 4. 2.10. 2.  10. </t>
  </si>
  <si>
    <t xml:space="preserve"> 4. 2.10. 2.  20. </t>
  </si>
  <si>
    <t xml:space="preserve"> 4. 2.10. 2.  30. </t>
  </si>
  <si>
    <t xml:space="preserve"> 4. 2.10. 2.  40. </t>
  </si>
  <si>
    <t xml:space="preserve"> 4. 2.11.</t>
  </si>
  <si>
    <t xml:space="preserve"> 4. 2.11.  .  10. </t>
  </si>
  <si>
    <t xml:space="preserve"> 5.</t>
  </si>
  <si>
    <t xml:space="preserve"> 5. 2. 1.</t>
  </si>
  <si>
    <t xml:space="preserve"> 5. 2. 1.  .  10. </t>
  </si>
  <si>
    <t xml:space="preserve"> 5. 2. 1.  .  20. </t>
  </si>
  <si>
    <t xml:space="preserve"> 5. 2. 1.  .  30. </t>
  </si>
  <si>
    <t xml:space="preserve"> 5. 2. 1.  .  40. </t>
  </si>
  <si>
    <t xml:space="preserve"> 5. 2. 1.  .  50. </t>
  </si>
  <si>
    <t xml:space="preserve"> 5. 2. 1.  .  60. </t>
  </si>
  <si>
    <t xml:space="preserve"> 5. 2. 1.  .  70. </t>
  </si>
  <si>
    <t xml:space="preserve"> 5. 2. 1.  .  80. </t>
  </si>
  <si>
    <t xml:space="preserve"> 5. 2. 1.  .  90. </t>
  </si>
  <si>
    <t xml:space="preserve"> 5. 2. 1.  . 100. </t>
  </si>
  <si>
    <t xml:space="preserve"> 5. 2. 1.  . 110. </t>
  </si>
  <si>
    <t xml:space="preserve"> 5. 2. 1.  . 120. </t>
  </si>
  <si>
    <t xml:space="preserve"> 5. 2. 1.  . 130. </t>
  </si>
  <si>
    <t xml:space="preserve"> 5. 2. 1.  . 140. </t>
  </si>
  <si>
    <t xml:space="preserve"> 5. 2. 1.  . 150. </t>
  </si>
  <si>
    <t xml:space="preserve"> 5. 2. 2.</t>
  </si>
  <si>
    <t xml:space="preserve"> 5. 2. 2.  .  10. </t>
  </si>
  <si>
    <t xml:space="preserve"> 5. 2. 2.  .  20. </t>
  </si>
  <si>
    <t xml:space="preserve"> 5. 2. 2.  .  30. </t>
  </si>
  <si>
    <t xml:space="preserve"> 5. 2. 2.  .  40. </t>
  </si>
  <si>
    <t xml:space="preserve"> 5. 2. 2.  .  50. </t>
  </si>
  <si>
    <t xml:space="preserve"> 5. 2. 2.  .  60. </t>
  </si>
  <si>
    <t xml:space="preserve"> 5. 2. 2.  .  70. </t>
  </si>
  <si>
    <t xml:space="preserve"> 5. 2. 2.  .  80. </t>
  </si>
  <si>
    <t xml:space="preserve"> 5. 2. 2.  .  90. </t>
  </si>
  <si>
    <t xml:space="preserve"> 5. 2. 2.  . 100. </t>
  </si>
  <si>
    <t xml:space="preserve"> 5. 2. 3.</t>
  </si>
  <si>
    <t xml:space="preserve"> 5. 2. 3.  .  10. </t>
  </si>
  <si>
    <t xml:space="preserve"> 5. 2. 3.  .  20. </t>
  </si>
  <si>
    <t xml:space="preserve"> 5. 2. 3.  .  30. </t>
  </si>
  <si>
    <t xml:space="preserve"> 5. 2. 3.  .  40. </t>
  </si>
  <si>
    <t xml:space="preserve"> 5. 2. 3.  .  50. </t>
  </si>
  <si>
    <t xml:space="preserve"> 5. 2. 3.  .  60. </t>
  </si>
  <si>
    <t xml:space="preserve"> 5. 2. 3.  .  70. </t>
  </si>
  <si>
    <t xml:space="preserve"> 5. 2. 3.  .  80. </t>
  </si>
  <si>
    <t xml:space="preserve"> 5. 2. 4.</t>
  </si>
  <si>
    <t xml:space="preserve"> 5. 2. 4.  .  10. </t>
  </si>
  <si>
    <t xml:space="preserve"> 5. 2. 4.  .  20. </t>
  </si>
  <si>
    <t xml:space="preserve"> 5. 2. 4.  .  30. </t>
  </si>
  <si>
    <t xml:space="preserve"> 5. 2. 4.  .  31. </t>
  </si>
  <si>
    <t xml:space="preserve"> 5. 2. 4.  .  32. </t>
  </si>
  <si>
    <t xml:space="preserve"> 5. 2. 4.  .  33. </t>
  </si>
  <si>
    <t xml:space="preserve"> 5. 2. 4.  .  34. </t>
  </si>
  <si>
    <t xml:space="preserve"> 5. 2. 4.  .  40. </t>
  </si>
  <si>
    <t xml:space="preserve"> 5. 2. 4.  .  50. </t>
  </si>
  <si>
    <t xml:space="preserve"> 5. 2. 4.  .  60. </t>
  </si>
  <si>
    <t xml:space="preserve"> 5. 2. 4.  .  90. </t>
  </si>
  <si>
    <t xml:space="preserve"> 5. 2. 4.  . 100. </t>
  </si>
  <si>
    <t xml:space="preserve"> 5. 2. 4.  . 110. </t>
  </si>
  <si>
    <t xml:space="preserve"> 5. 2. 4.  . 120. </t>
  </si>
  <si>
    <t xml:space="preserve"> 5. 2. 4.  . 130. </t>
  </si>
  <si>
    <t xml:space="preserve"> 5. 2. 4.  . 140. </t>
  </si>
  <si>
    <t xml:space="preserve"> 5. 2. 4.  . 150. </t>
  </si>
  <si>
    <t xml:space="preserve"> 5. 2. 4.  . 160. </t>
  </si>
  <si>
    <t xml:space="preserve"> 5. 2. 4.  . 170. </t>
  </si>
  <si>
    <t xml:space="preserve"> 5. 2. 4.  . 180. </t>
  </si>
  <si>
    <t xml:space="preserve"> 5. 2. 4.  . 190. </t>
  </si>
  <si>
    <t xml:space="preserve"> 5. 2. 4.  . 200. </t>
  </si>
  <si>
    <t xml:space="preserve"> 5. 2. 4.  . 210. </t>
  </si>
  <si>
    <t xml:space="preserve"> 5. 2. 5.</t>
  </si>
  <si>
    <t xml:space="preserve"> 5. 2. 5.  .  10. </t>
  </si>
  <si>
    <t xml:space="preserve"> 5. 2. 5.  .  20. </t>
  </si>
  <si>
    <t xml:space="preserve"> 5. 2. 5.  .  30. </t>
  </si>
  <si>
    <t xml:space="preserve"> 5. 2. 5.  .  40. </t>
  </si>
  <si>
    <t xml:space="preserve"> 5. 2. 5.  .  50. </t>
  </si>
  <si>
    <t xml:space="preserve"> 5. 2. 5.  .  60. </t>
  </si>
  <si>
    <t xml:space="preserve"> 5. 2. 5.  .  70. </t>
  </si>
  <si>
    <t xml:space="preserve"> 5. 2. 5.  .  80. </t>
  </si>
  <si>
    <t xml:space="preserve"> 5. 2. 5.  .  90. </t>
  </si>
  <si>
    <t xml:space="preserve"> 5. 2. 5.  . 100. </t>
  </si>
  <si>
    <t xml:space="preserve"> 5. 2. 5.  . 110. </t>
  </si>
  <si>
    <t xml:space="preserve"> 5. 2. 5.  . 120. </t>
  </si>
  <si>
    <t xml:space="preserve"> 5. 2. 5.  . 130. </t>
  </si>
  <si>
    <t xml:space="preserve"> 5. 2. 5.  . 140. </t>
  </si>
  <si>
    <t xml:space="preserve"> 5. 2. 5.  . 141. </t>
  </si>
  <si>
    <t xml:space="preserve"> 5. 2. 5.  . 142. </t>
  </si>
  <si>
    <t xml:space="preserve"> 5. 2. 5.  . 143. </t>
  </si>
  <si>
    <t xml:space="preserve"> 5. 2. 5.  . 150. </t>
  </si>
  <si>
    <t xml:space="preserve"> 5. 2. 5.  . 160. </t>
  </si>
  <si>
    <t xml:space="preserve"> 5. 2. 5.  . 170. </t>
  </si>
  <si>
    <t xml:space="preserve"> 5. 2. 5.  . 180. </t>
  </si>
  <si>
    <t xml:space="preserve"> 5. 2. 5.  . 190. </t>
  </si>
  <si>
    <t xml:space="preserve"> 5. 2. 5.  . 300. </t>
  </si>
  <si>
    <t xml:space="preserve"> 5. 2. 5.  . 310. </t>
  </si>
  <si>
    <t xml:space="preserve"> 5. 2. 5.  . 320. </t>
  </si>
  <si>
    <t xml:space="preserve"> 5. 2. 5.  . 330. </t>
  </si>
  <si>
    <t xml:space="preserve"> 5. 2. 5.  . 340. </t>
  </si>
  <si>
    <t xml:space="preserve"> 5. 2. 5.  . 350. </t>
  </si>
  <si>
    <t xml:space="preserve"> 5. 2. 5.  . 351. </t>
  </si>
  <si>
    <t xml:space="preserve"> 5. 2. 5.  . 352. </t>
  </si>
  <si>
    <t xml:space="preserve"> 5. 2. 5.  . 353. </t>
  </si>
  <si>
    <t xml:space="preserve"> 5. 2. 5.  . 354. </t>
  </si>
  <si>
    <t xml:space="preserve"> 5. 2. 5.  . 355. </t>
  </si>
  <si>
    <t xml:space="preserve"> 5. 2. 5.  . 356. </t>
  </si>
  <si>
    <t xml:space="preserve"> 5. 2. 5.  . 357. </t>
  </si>
  <si>
    <t xml:space="preserve"> 5. 2. 5.  . 359. </t>
  </si>
  <si>
    <t xml:space="preserve"> 5. 2. 5.  . 360. </t>
  </si>
  <si>
    <t xml:space="preserve"> 5. 2. 5.  . 361. </t>
  </si>
  <si>
    <t xml:space="preserve"> 5. 2. 5.  . 362. </t>
  </si>
  <si>
    <t xml:space="preserve"> 5. 2. 5.  . 363. </t>
  </si>
  <si>
    <t xml:space="preserve"> 5. 2. 5.  . 364. </t>
  </si>
  <si>
    <t xml:space="preserve"> 5. 2. 5.  . 365. </t>
  </si>
  <si>
    <t xml:space="preserve"> 5. 2. 5.  . 366. </t>
  </si>
  <si>
    <t xml:space="preserve"> 5. 2. 5.  . 367. </t>
  </si>
  <si>
    <t xml:space="preserve"> 5. 2. 5.  . 368. </t>
  </si>
  <si>
    <t xml:space="preserve"> 5. 2. 5.  . 369. </t>
  </si>
  <si>
    <t xml:space="preserve"> 5. 2. 5.  . 370. </t>
  </si>
  <si>
    <t xml:space="preserve"> 5. 2. 5.  . 371. </t>
  </si>
  <si>
    <t xml:space="preserve"> 5. 2. 5.  . 372. </t>
  </si>
  <si>
    <t xml:space="preserve"> 5. 2. 5.  . 373. </t>
  </si>
  <si>
    <t xml:space="preserve"> 5. 2. 5.  . 374. </t>
  </si>
  <si>
    <t xml:space="preserve"> 5. 2. 5.  . 375. </t>
  </si>
  <si>
    <t xml:space="preserve"> 5. 2. 5.  . 376. </t>
  </si>
  <si>
    <t xml:space="preserve"> 5. 2. 5.  . 377. </t>
  </si>
  <si>
    <t xml:space="preserve"> 5. 2. 5.  . 378. </t>
  </si>
  <si>
    <t xml:space="preserve"> 5. 2. 5.  . 379. </t>
  </si>
  <si>
    <t xml:space="preserve"> 5. 2. 6.</t>
  </si>
  <si>
    <t xml:space="preserve"> 5. 2. 6.  .  10. </t>
  </si>
  <si>
    <t xml:space="preserve"> 5. 2. 6.  .  11. </t>
  </si>
  <si>
    <t xml:space="preserve"> 5. 2. 6.  .  12. </t>
  </si>
  <si>
    <t xml:space="preserve"> 5. 2. 6.  .  13. </t>
  </si>
  <si>
    <t xml:space="preserve"> 5. 2. 6.  .  14. </t>
  </si>
  <si>
    <t xml:space="preserve"> 5. 2. 6.  .  15. </t>
  </si>
  <si>
    <t xml:space="preserve"> 5. 2. 6.  .  20. </t>
  </si>
  <si>
    <t xml:space="preserve"> 5. 2. 6.  .  30. </t>
  </si>
  <si>
    <t xml:space="preserve"> 5. 2. 6.  .  40. </t>
  </si>
  <si>
    <t xml:space="preserve"> 5. 2. 6.  .  41. </t>
  </si>
  <si>
    <t xml:space="preserve"> 5. 2. 6.  .  50. </t>
  </si>
  <si>
    <t xml:space="preserve"> 5. 2. 6.  .  60. </t>
  </si>
  <si>
    <t xml:space="preserve"> 5. 2. 6.  .  70. </t>
  </si>
  <si>
    <t xml:space="preserve"> 5. 2. 6.  .  80. </t>
  </si>
  <si>
    <t xml:space="preserve"> 5. 2. 6.  .  90. </t>
  </si>
  <si>
    <t xml:space="preserve"> 5. 2. 6.  . 100. </t>
  </si>
  <si>
    <t xml:space="preserve"> 5. 2. 6.  . 110. </t>
  </si>
  <si>
    <t xml:space="preserve"> 5. 2. 6.  . 120. </t>
  </si>
  <si>
    <t xml:space="preserve"> 5. 2. 6.  . 130. </t>
  </si>
  <si>
    <t xml:space="preserve"> 5. 2. 6.  . 131. </t>
  </si>
  <si>
    <t xml:space="preserve"> 5. 2. 6.  . 132. </t>
  </si>
  <si>
    <t xml:space="preserve"> 5. 2. 6.  . 133. </t>
  </si>
  <si>
    <t xml:space="preserve"> 5. 2. 6.  . 134. </t>
  </si>
  <si>
    <t xml:space="preserve"> 5. 2. 6.  . 135. </t>
  </si>
  <si>
    <t xml:space="preserve"> 5. 2. 6.  . 136. </t>
  </si>
  <si>
    <t xml:space="preserve"> 5. 2. 6.  . 137. </t>
  </si>
  <si>
    <t xml:space="preserve"> 5. 2. 6.  . 138. </t>
  </si>
  <si>
    <t xml:space="preserve"> 5. 2. 6.  . 139. </t>
  </si>
  <si>
    <t xml:space="preserve"> 5. 2. 6.  . 140. </t>
  </si>
  <si>
    <t xml:space="preserve"> 5. 2. 6.  . 141. </t>
  </si>
  <si>
    <t xml:space="preserve"> 5. 2. 6.  . 142. </t>
  </si>
  <si>
    <t xml:space="preserve"> 5. 2. 6.  . 143. </t>
  </si>
  <si>
    <t xml:space="preserve"> 5. 2. 6.  . 144. </t>
  </si>
  <si>
    <t xml:space="preserve"> 5. 2. 6.  . 145. </t>
  </si>
  <si>
    <t xml:space="preserve"> 5. 2. 6.  . 146. </t>
  </si>
  <si>
    <t xml:space="preserve"> 5. 2. 6.  . 147. </t>
  </si>
  <si>
    <t xml:space="preserve"> 5. 2. 6.  . 148. </t>
  </si>
  <si>
    <t xml:space="preserve"> 5. 2. 6.  . 149. </t>
  </si>
  <si>
    <t xml:space="preserve"> 5. 2. 6.  . 150. </t>
  </si>
  <si>
    <t xml:space="preserve"> 5. 2. 6.  . 151. </t>
  </si>
  <si>
    <t xml:space="preserve"> 5. 2. 6.  . 152. </t>
  </si>
  <si>
    <t xml:space="preserve"> 5. 2. 7.</t>
  </si>
  <si>
    <t xml:space="preserve"> 5. 2. 7.  .  10. </t>
  </si>
  <si>
    <t xml:space="preserve"> 5. 2. 7.  .  20. </t>
  </si>
  <si>
    <t xml:space="preserve"> 5. 2. 7.  .  30. </t>
  </si>
  <si>
    <t xml:space="preserve"> 5. 2. 7.  .  40. </t>
  </si>
  <si>
    <t xml:space="preserve"> 5. 2. 7.  .  50. </t>
  </si>
  <si>
    <t xml:space="preserve"> 5. 2. 7.  .  60. </t>
  </si>
  <si>
    <t xml:space="preserve"> 5. 2. 7.  .  70. </t>
  </si>
  <si>
    <t xml:space="preserve"> 5. 2. 7.  .  80. </t>
  </si>
  <si>
    <t xml:space="preserve"> 5. 2. 8. 1.</t>
  </si>
  <si>
    <t xml:space="preserve"> 5. 2. 8. 1.  10. </t>
  </si>
  <si>
    <t xml:space="preserve"> 5. 2. 8. 1.  20. </t>
  </si>
  <si>
    <t xml:space="preserve"> 5. 2. 8. 1.  30. </t>
  </si>
  <si>
    <t xml:space="preserve"> 5. 2. 8. 1.  40. </t>
  </si>
  <si>
    <t xml:space="preserve"> 5. 2. 8. 1.  50. </t>
  </si>
  <si>
    <t xml:space="preserve"> 5. 2. 8. 1.  60. </t>
  </si>
  <si>
    <t xml:space="preserve"> 5. 2. 8. 2.</t>
  </si>
  <si>
    <t xml:space="preserve"> 5. 2. 8. 2.  10. </t>
  </si>
  <si>
    <t xml:space="preserve"> 5. 2. 8. 2.  20. </t>
  </si>
  <si>
    <t xml:space="preserve"> 5. 2. 8. 2.  30. </t>
  </si>
  <si>
    <t xml:space="preserve"> 5. 2. 8. 2.  40. </t>
  </si>
  <si>
    <t xml:space="preserve"> 5. 2. 9.</t>
  </si>
  <si>
    <t xml:space="preserve"> 5. 2. 9.  .  10. </t>
  </si>
  <si>
    <t xml:space="preserve"> 7.</t>
  </si>
  <si>
    <t xml:space="preserve"> 7. 2. 1.</t>
  </si>
  <si>
    <t xml:space="preserve"> 7. 2. 1.  .  10. </t>
  </si>
  <si>
    <t xml:space="preserve"> 7. 2. 1.  .  20. </t>
  </si>
  <si>
    <t xml:space="preserve"> 7. 2. 1.  .  30. </t>
  </si>
  <si>
    <t xml:space="preserve"> 7. 2. 1.  .  40. </t>
  </si>
  <si>
    <t xml:space="preserve"> 7. 2. 1.  .  50. </t>
  </si>
  <si>
    <t xml:space="preserve"> 7. 2. 1.  .  60. </t>
  </si>
  <si>
    <t xml:space="preserve"> 7. 2. 1.  .  70. </t>
  </si>
  <si>
    <t xml:space="preserve"> 7. 2. 1.  .  80. </t>
  </si>
  <si>
    <t xml:space="preserve"> 7. 2. 1.  .  90. </t>
  </si>
  <si>
    <t xml:space="preserve"> 7. 2. 1.  . 100. </t>
  </si>
  <si>
    <t xml:space="preserve"> 7. 2. 1.  . 110. </t>
  </si>
  <si>
    <t xml:space="preserve"> 7. 2. 1.  . 120. </t>
  </si>
  <si>
    <t xml:space="preserve"> 7. 2. 1.  . 130. </t>
  </si>
  <si>
    <t xml:space="preserve"> 7. 2. 1.  . 140. </t>
  </si>
  <si>
    <t xml:space="preserve"> 7. 2. 1.  . 150. </t>
  </si>
  <si>
    <t xml:space="preserve"> 7. 2. 1.  . 160. </t>
  </si>
  <si>
    <t xml:space="preserve"> 7. 2. 1.  . 170. </t>
  </si>
  <si>
    <t xml:space="preserve"> 7. 2. 1.  . 180. </t>
  </si>
  <si>
    <t xml:space="preserve"> 7. 2. 1.  . 190. </t>
  </si>
  <si>
    <t xml:space="preserve"> 7. 2. 1.  . 200. </t>
  </si>
  <si>
    <t xml:space="preserve"> 7. 2. 1.  . 210. </t>
  </si>
  <si>
    <t xml:space="preserve"> 7. 2. 1.  . 220. </t>
  </si>
  <si>
    <t xml:space="preserve"> 7. 2. 2. 1.</t>
  </si>
  <si>
    <t xml:space="preserve"> 7. 2. 2. 1.  10. </t>
  </si>
  <si>
    <t xml:space="preserve"> 7. 2. 2. 1.  20. </t>
  </si>
  <si>
    <t xml:space="preserve"> 7. 2. 2. 1.  30. </t>
  </si>
  <si>
    <t xml:space="preserve"> 7. 2. 2. 1.  40. </t>
  </si>
  <si>
    <t xml:space="preserve"> 7. 2. 2. 1.  50. </t>
  </si>
  <si>
    <t xml:space="preserve"> 7. 2. 2. 1.  60. </t>
  </si>
  <si>
    <t xml:space="preserve"> 7. 2. 2. 2.</t>
  </si>
  <si>
    <t xml:space="preserve"> 7. 2. 2. 2.  10. </t>
  </si>
  <si>
    <t xml:space="preserve"> 7. 2. 2. 2.  20. </t>
  </si>
  <si>
    <t xml:space="preserve"> 7. 2. 2. 2.  30. </t>
  </si>
  <si>
    <t xml:space="preserve"> 7. 2. 2. 2.  40. </t>
  </si>
  <si>
    <t xml:space="preserve"> 7. 2. 3.</t>
  </si>
  <si>
    <t xml:space="preserve"> 7. 2. 3.  .  10. </t>
  </si>
  <si>
    <t>Bo,XA</t>
  </si>
  <si>
    <t>Dachabdichtung</t>
  </si>
  <si>
    <t>Bauteil A (Danfoss)</t>
  </si>
  <si>
    <t>Holzkonstruktion Atriumdach</t>
  </si>
  <si>
    <t>Holzkonstruktion Atriumdach inkl. Statik, Planzeichnungen, Hubbühnen</t>
  </si>
  <si>
    <t>Verglasung Atriumdach</t>
  </si>
  <si>
    <t>Modellscheiben Atriumdach</t>
  </si>
  <si>
    <t>Glashalteleiste inkl. Dichtprofil und Abdeckleiste</t>
  </si>
  <si>
    <t>Statik</t>
  </si>
  <si>
    <t>Planzeichnungen</t>
  </si>
  <si>
    <t>Baukran zur Verglasung</t>
  </si>
  <si>
    <t>Fangnetze</t>
  </si>
  <si>
    <t>Abdichtung + Dämmung (Flachdach)</t>
  </si>
  <si>
    <t>Typ: DA-20 / DA-21 / DA-22</t>
  </si>
  <si>
    <t>Dachfläche abkehren</t>
  </si>
  <si>
    <t>Bitumen- Voranstrich 300 g/m2</t>
  </si>
  <si>
    <t>Bitumen- Voranstrich wie vor, jedoch an aufgehenden Bauteilen, h=ca.60cm</t>
  </si>
  <si>
    <t>1.Lage Abdichtung, Biitumenschweißbahn, vollflächig in Heißbitumen, PYE G 200 DD</t>
  </si>
  <si>
    <t>2.Lage Abdichtung, Bitumenschweißbahn, vollflächig verschweißt, PYE PV 200 S5</t>
  </si>
  <si>
    <t>Zweilagige Bitumenabdichtung an aufgehenden Bauteilen, h=60cm</t>
  </si>
  <si>
    <t>Hohlkehlstreifen entlang Aufkantung</t>
  </si>
  <si>
    <t>Wärmedämmung XPS-DUK- 035-dh, d= 240 mm</t>
  </si>
  <si>
    <t>Notablauf DN100 als Speier, liefern, einbauen und eindichten (Freispiegelablauf)</t>
  </si>
  <si>
    <t>Dachablauf DN100, liefern, einbauen und eindichten</t>
  </si>
  <si>
    <t>Dachdurchführungen eindichten, Abm. 200x400mm</t>
  </si>
  <si>
    <t>Dachdurchführungen eindichten, Abm. 200x200mm</t>
  </si>
  <si>
    <t>Eindichten von RWA-Anlagen und Lichtkuppeln</t>
  </si>
  <si>
    <t>Wasserdichtigkeitsprüfungen</t>
  </si>
  <si>
    <t>Aufstellstützen Dach eindichten</t>
  </si>
  <si>
    <t>Begrünung + Kies (Flachdach)</t>
  </si>
  <si>
    <t>Typ: DA-20 / DA-21</t>
  </si>
  <si>
    <t>Trenn-, Schutz- und Speichervlies RMS 500</t>
  </si>
  <si>
    <t>Festkörper-Retentions- und Dräinschicht mit Kapillarwirkung, WRB 85i</t>
  </si>
  <si>
    <t>Saug- und Kapillarvlies RMS 500K</t>
  </si>
  <si>
    <t>Extensivsubstrat E leicht, h=60mm</t>
  </si>
  <si>
    <t>Intensivsubstrat I leicht, h=60mm</t>
  </si>
  <si>
    <t>Saatgutmischung E und Sedum- Sprossen</t>
  </si>
  <si>
    <t>Fertigstellungspflege, 1 Jahr</t>
  </si>
  <si>
    <t>Entwicklungspflege, 2 Jahre</t>
  </si>
  <si>
    <t>Aufschüttung Kies, d=120mm</t>
  </si>
  <si>
    <t>Kiesfangleiste aus Alu- Lochblech, h=12cm</t>
  </si>
  <si>
    <t>Plattenbelag (Flachdach)</t>
  </si>
  <si>
    <t>Typ: DA-22</t>
  </si>
  <si>
    <t>Aufschüttung Splitt, d=70mm</t>
  </si>
  <si>
    <t>Betonwerksteinplatten, Dachterrasse, d=50mm, Abm. 30 x 60 cm</t>
  </si>
  <si>
    <t>Zuschnitte der Betonwerksteinplatten</t>
  </si>
  <si>
    <t>Abdichtung mit Flüssigkunststoff an bodentiefen Fenstern</t>
  </si>
  <si>
    <t>Entwässerungsrinne an bodentiefen Fenstern</t>
  </si>
  <si>
    <t>Treppenhaus</t>
  </si>
  <si>
    <t>Typ: DA-15</t>
  </si>
  <si>
    <t>Bitumen- Voranstrich wie vor, jedoch an aufgehenden Bauteilen, h=ca.50cm</t>
  </si>
  <si>
    <t>Bitumen- Dampfsperre als Notabdichtung, Al + V60 S4</t>
  </si>
  <si>
    <t>Bitumen- Dampfsperre wie vor, jedoch an aufgehenden Bauteilen, h=ca.50cm</t>
  </si>
  <si>
    <t>Wärmedämmung EPS-DAA-035-dh, d= 200 mm</t>
  </si>
  <si>
    <t>1.Lage Abdichtung, Polymerbitumenbahn, kaltklebend, PYE G200 S4</t>
  </si>
  <si>
    <t>Zweilagige Bitumenabdichtung an aufgehenden Bauteilen, h=30cm</t>
  </si>
  <si>
    <t>Aufschüttung Kies, d=100mm</t>
  </si>
  <si>
    <t>Terrassen</t>
  </si>
  <si>
    <t>Typ: DA-12 / DA-14</t>
  </si>
  <si>
    <t>Wärmedämmung EPS-DAA-035-dh, d= 200 mm (DA-12)</t>
  </si>
  <si>
    <t>Wärmedämmung im Gefälle EPS-DAA-035-dh, d= 135-200 mm (DA-14)</t>
  </si>
  <si>
    <t>Wärmedämmung senkrecht, d=140mm, h=ca.60cm</t>
  </si>
  <si>
    <t>1.Lage Elastomerbitumenbahn, kaltselbstlebend, PYE-KTP-KSP-3,5</t>
  </si>
  <si>
    <t>Abdichtung wie vor, jedoch an aufgehenden Bauteilen + Attika, h=ca.30cm</t>
  </si>
  <si>
    <t>2.Lage Polymerbitumenschweißbahn, wurzelfest, PYE-KTP-300-S5</t>
  </si>
  <si>
    <t>Abdichtung wie vor, jedoch an aufgehenden Bauteilen + Attika, L=ca.30cm</t>
  </si>
  <si>
    <t>Trittschalldämmplatte d=10mm</t>
  </si>
  <si>
    <t>PE-Trenn- und Gleitfolie TGF 0,2</t>
  </si>
  <si>
    <t>Schutz-, Trenn- Gleitlage und SLG 500</t>
  </si>
  <si>
    <t>Bautenschutz- und Dränelement FKD 25</t>
  </si>
  <si>
    <t>Aufschüttung Splitt, d=35mm</t>
  </si>
  <si>
    <t>Betonwerksteinplatten, Terrassen, d=50mm, Abm. 30 x 60 cm</t>
  </si>
  <si>
    <t>Typ: DA-10 / DA-16</t>
  </si>
  <si>
    <t>Wärmedämmung im Gefälle EPS-DAA-035-dh, d= 160-220 mm (DA-10)</t>
  </si>
  <si>
    <t>Wärmedämmung EPS-DAA-035-dh, d= 200 mm (DA-16)</t>
  </si>
  <si>
    <t>Trittschalldämmplatte d=10mm (DA-10)</t>
  </si>
  <si>
    <t>Trittschalldämmplatte d=25mm (DA-16)</t>
  </si>
  <si>
    <t>Aufschüttung Splitt, d=30mm (DA-10)</t>
  </si>
  <si>
    <t>Zulage für Verlegung auf Stelzlager, d= von 50mm bis 100mm (DA-16)</t>
  </si>
  <si>
    <t>Betonwerksteinplatten, Balkone, d=50mm, Abm. 30 x 60 cm</t>
  </si>
  <si>
    <t>Betonwerk als Blockstufe, Terrassen, Abm14x25cm, R10</t>
  </si>
  <si>
    <t>Betonwerk als Blockstufe, Terrassen, Abm28x50cm, R10</t>
  </si>
  <si>
    <t>Balkone</t>
  </si>
  <si>
    <t>Typ: DA-01a</t>
  </si>
  <si>
    <t>Bitumen- Voranstrich wie vor, jedoch an aufgehenden Bauteilen, h=ca.30cm</t>
  </si>
  <si>
    <t>Trittschalldämmplatte d=25mm</t>
  </si>
  <si>
    <t>Zulage für Verlegung auf Stelzlager, d= von 50mm bis 100mm</t>
  </si>
  <si>
    <t>Typ: DA-10</t>
  </si>
  <si>
    <t>Wärmedämmung im Gefälle EPS-DAA-035-dh, d= 160-220 mm</t>
  </si>
  <si>
    <t>Aufschüttung Splitt, d=30mm</t>
  </si>
  <si>
    <t>Brücke</t>
  </si>
  <si>
    <t>Abdichtung mit Flüssigkunststoff an Randbereich</t>
  </si>
  <si>
    <t>Klempner</t>
  </si>
  <si>
    <t>Fallrohre DN bis 100mm, Stahl verzinkt</t>
  </si>
  <si>
    <t>Fallrohrbögen, Stahl verzinkt</t>
  </si>
  <si>
    <t>Rohrabzweige, Stahl verzinkt</t>
  </si>
  <si>
    <t>Anschlussstück Muffen, Stahl verzinkt</t>
  </si>
  <si>
    <t>Rohrdurchführungen, Stahl verzinkt</t>
  </si>
  <si>
    <t>Standrohre zur Revision, Stahl verzinkt</t>
  </si>
  <si>
    <t>Regenrinne U-Form (Atriumdach)</t>
  </si>
  <si>
    <t>Fallrohre,inkl, Anschluss, Bögen, stahlverzinkt (Atriumdach)</t>
  </si>
  <si>
    <t>Attikaabdeckung</t>
  </si>
  <si>
    <t>Dämmung der Attikakrone, XPS-035-dh, d=120mm, b=ca.30cm</t>
  </si>
  <si>
    <t>OSB-Platte als UK für Attika- und Mauerabdeckungen, b=ca.30cm</t>
  </si>
  <si>
    <t>Aluminiumabdeckung, pulverbeschichtet, Krone b=ca.650mm, Abw.=ca.1.150mm</t>
  </si>
  <si>
    <t>Formteile wie Ecken oder Endstücke zur Vorposition, Abw.=ca.1.150mm</t>
  </si>
  <si>
    <t>RWA-Anlagen und Oberlichter</t>
  </si>
  <si>
    <t>Treppenhaus-RWA, elektr., mit Leiterhalterung, Abm. 1,40m x 1,40m</t>
  </si>
  <si>
    <t>Bauteil B (Grundausbau)</t>
  </si>
  <si>
    <t>Wärmedämmung EPS-DAA- 035-dh, d= 200 mm (DA-12)</t>
  </si>
  <si>
    <t>Wärmedämmung im Gefälle EPS-DAA- 035-dh, d= 135-200 mm (DA-14)</t>
  </si>
  <si>
    <t>Typ: DA-13</t>
  </si>
  <si>
    <t>Bautenschutz- und Dränelement FKD 40</t>
  </si>
  <si>
    <t>Extensivsubstrat E leicht, h=30mm</t>
  </si>
  <si>
    <t>Intensivsubstrat I leicht, h=30mm</t>
  </si>
  <si>
    <t>Typ: DA-01a und DA-01b</t>
  </si>
  <si>
    <t>Zulage für Verlegung auf Stelzlager, d= von 50mm bis 100mm (DA-01a)</t>
  </si>
  <si>
    <t>Zulage für Verlegung auf Stelzlager, d= von 150mm bis 200mm (DA-01b)</t>
  </si>
  <si>
    <t>Bauteil C</t>
  </si>
  <si>
    <t>Treppenhaus/Dach Rampe</t>
  </si>
  <si>
    <t>Zweilagige Bitumenabdichtung an aufgehenden Bauteilen, h=50cm</t>
  </si>
  <si>
    <t>Stck</t>
  </si>
  <si>
    <t>m2</t>
  </si>
  <si>
    <t>Std</t>
  </si>
  <si>
    <t>m</t>
  </si>
  <si>
    <t>Nettosumme [€]</t>
  </si>
  <si>
    <t>Nachlass</t>
  </si>
  <si>
    <t>Gesamtsumme netto [€]</t>
  </si>
  <si>
    <t>Titelzusammenstellung</t>
  </si>
  <si>
    <t>NEP</t>
  </si>
  <si>
    <t>HORN</t>
  </si>
  <si>
    <t xml:space="preserve"> 4. 2. 3.  .  40.A</t>
  </si>
  <si>
    <t>wie zuvor, aber hinterlaufsicher nach DIN Mit Polymerbitumen DuoFlex</t>
  </si>
  <si>
    <t xml:space="preserve"> 4. 2. 3.  .  50.A</t>
  </si>
  <si>
    <t xml:space="preserve"> 4. 2. 3.  .  60.A</t>
  </si>
  <si>
    <t>wie zuvor, jedoch mit Trittschutzblech und Z-Profil inkl. Dämmung</t>
  </si>
  <si>
    <t>in Pos. 4.2.3.60 enthalten</t>
  </si>
  <si>
    <t xml:space="preserve"> 4. 2. 3.  .  80.A</t>
  </si>
  <si>
    <t>Vlies</t>
  </si>
  <si>
    <t xml:space="preserve"> 4. 2. 3.  . 140.A</t>
  </si>
  <si>
    <t>psch</t>
  </si>
  <si>
    <t xml:space="preserve"> 4. 2. 4.  .  20.A</t>
  </si>
  <si>
    <t>wie zuvor, jedoch WRB 80F</t>
  </si>
  <si>
    <t xml:space="preserve"> 4. 2. 5.  .  20.A </t>
  </si>
  <si>
    <t xml:space="preserve"> 4. 2. 6.  . 100.A </t>
  </si>
  <si>
    <t xml:space="preserve"> 4. 2. 7.  . 142.A</t>
  </si>
  <si>
    <t>wie zuvor, jedoch FKD 25 Plus</t>
  </si>
  <si>
    <t xml:space="preserve"> 4. 2. 6.  . 240.A </t>
  </si>
  <si>
    <t>Wasserdichtigkeitsprüfungen elektrisch</t>
  </si>
  <si>
    <t xml:space="preserve"> 4. 2. 7.  . 270.A</t>
  </si>
  <si>
    <t>?</t>
  </si>
  <si>
    <t xml:space="preserve"> 4. 2. 7.  . 294.A</t>
  </si>
  <si>
    <t xml:space="preserve">Wasserdichtigkeitsprüfungen </t>
  </si>
  <si>
    <t xml:space="preserve"> 4. 2. 8.  .  13.A </t>
  </si>
  <si>
    <t xml:space="preserve"> 4. 2. 8.  .  14.A</t>
  </si>
  <si>
    <t xml:space="preserve"> 4. 2. 8.  .  15.A</t>
  </si>
  <si>
    <t>wie zuvor, jedoch Duo Flex</t>
  </si>
  <si>
    <t xml:space="preserve"> 4. 2. 8.  . 130.A</t>
  </si>
  <si>
    <t xml:space="preserve"> 4. 2. 8.  . 153.A</t>
  </si>
  <si>
    <t xml:space="preserve"> 5. 2. 1.  .  40.A</t>
  </si>
  <si>
    <t xml:space="preserve"> 5. 2. 1.  .  50.A </t>
  </si>
  <si>
    <t xml:space="preserve"> 5. 2. 1.  .  60.A</t>
  </si>
  <si>
    <t>in Pos. 5.2.1.60 enthalten</t>
  </si>
  <si>
    <t xml:space="preserve"> 5. 2. 1.  .  80.A </t>
  </si>
  <si>
    <t xml:space="preserve"> 5. 2. 1.  . 140.A </t>
  </si>
  <si>
    <t xml:space="preserve"> 5. 2. 2.  .  20.A</t>
  </si>
  <si>
    <t>wie zuvor, jedoch  WRB 80F</t>
  </si>
  <si>
    <t xml:space="preserve"> 5. 2. 3.  .  20.A</t>
  </si>
  <si>
    <t xml:space="preserve"> 5. 2. 4.  .  60.A</t>
  </si>
  <si>
    <t xml:space="preserve"> 5. 2. 4.  . 220.A</t>
  </si>
  <si>
    <t xml:space="preserve"> 5. 2. 5.  . 143.A</t>
  </si>
  <si>
    <t xml:space="preserve"> 5. 2. 5.  . 350.A</t>
  </si>
  <si>
    <t xml:space="preserve"> 5. 2. 5.  . 379.A</t>
  </si>
  <si>
    <t xml:space="preserve"> 5. 2. 6.  .  13.A</t>
  </si>
  <si>
    <t xml:space="preserve"> 5. 2. 6.  .  14.A</t>
  </si>
  <si>
    <t>wie zuvor, jedoch DuoFLex</t>
  </si>
  <si>
    <t xml:space="preserve"> 5. 2. 6.  .  15.A</t>
  </si>
  <si>
    <t xml:space="preserve"> 5. 2. 6.  . 130.A </t>
  </si>
  <si>
    <t xml:space="preserve"> 5. 2. 6.  . 152.A</t>
  </si>
  <si>
    <t xml:space="preserve"> 7. 2. 1.  .  40.A</t>
  </si>
  <si>
    <t xml:space="preserve"> 7. 2. 1.  .  50.A</t>
  </si>
  <si>
    <t xml:space="preserve"> 7. 2. 1.  .  60.A</t>
  </si>
  <si>
    <t xml:space="preserve"> 7. 2. 1.  .  80. A</t>
  </si>
  <si>
    <t xml:space="preserve"> 7. 2. 1.  . 220.A</t>
  </si>
  <si>
    <t>20006551 Offenbach NB Bürogebäude LEIQ "Nordring/Goethering"</t>
  </si>
  <si>
    <t>k. Angebot</t>
  </si>
  <si>
    <t>k.Angebot</t>
  </si>
  <si>
    <t xml:space="preserve"> 5. 2. 4.  . 220.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</si>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</sst>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7]_-;\-* #,##0.00\ [$€-407]_-;_-* &quot;-&quot;??\ [$€-407]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3" fillId="2" borderId="1" xfId="0" applyNumberFormat="1" applyFont="1" applyFill="1" applyBorder="1"/>
    <xf numFmtId="0" fontId="3" fillId="2" borderId="3" xfId="0" applyNumberFormat="1" applyFont="1" applyFill="1" applyBorder="1"/>
    <xf numFmtId="0" fontId="3" fillId="0" borderId="4" xfId="0" applyFont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4" xfId="0" applyNumberFormat="1" applyFont="1" applyBorder="1"/>
    <xf numFmtId="0" fontId="3" fillId="0" borderId="5" xfId="0" applyNumberFormat="1" applyFont="1" applyBorder="1"/>
    <xf numFmtId="0" fontId="3" fillId="0" borderId="6" xfId="0" applyNumberFormat="1" applyFont="1" applyBorder="1"/>
    <xf numFmtId="0" fontId="5" fillId="0" borderId="4" xfId="0" applyNumberFormat="1" applyFont="1" applyBorder="1"/>
    <xf numFmtId="0" fontId="4" fillId="0" borderId="4" xfId="0" applyFont="1" applyBorder="1"/>
    <xf numFmtId="0" fontId="6" fillId="0" borderId="4" xfId="0" applyNumberFormat="1" applyFont="1" applyBorder="1"/>
    <xf numFmtId="0" fontId="6" fillId="0" borderId="5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3" fillId="0" borderId="8" xfId="0" applyNumberFormat="1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 applyAlignment="1">
      <alignment horizontal="center"/>
    </xf>
    <xf numFmtId="0" fontId="3" fillId="0" borderId="11" xfId="0" applyNumberFormat="1" applyFont="1" applyBorder="1" applyAlignment="1">
      <alignment horizontal="center"/>
    </xf>
    <xf numFmtId="0" fontId="3" fillId="0" borderId="12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Border="1"/>
    <xf numFmtId="0" fontId="2" fillId="0" borderId="0" xfId="0" applyFont="1"/>
    <xf numFmtId="0" fontId="2" fillId="0" borderId="4" xfId="0" applyFont="1" applyBorder="1"/>
    <xf numFmtId="0" fontId="2" fillId="3" borderId="14" xfId="0" applyFont="1" applyFill="1" applyBorder="1"/>
    <xf numFmtId="4" fontId="2" fillId="0" borderId="16" xfId="0" applyNumberFormat="1" applyFont="1" applyBorder="1"/>
    <xf numFmtId="0" fontId="2" fillId="0" borderId="14" xfId="0" applyFont="1" applyBorder="1"/>
    <xf numFmtId="0" fontId="8" fillId="3" borderId="13" xfId="0" applyFont="1" applyFill="1" applyBorder="1"/>
    <xf numFmtId="4" fontId="8" fillId="3" borderId="18" xfId="0" applyNumberFormat="1" applyFont="1" applyFill="1" applyBorder="1"/>
    <xf numFmtId="0" fontId="8" fillId="0" borderId="14" xfId="0" applyFont="1" applyBorder="1"/>
    <xf numFmtId="4" fontId="8" fillId="0" borderId="16" xfId="0" applyNumberFormat="1" applyFont="1" applyBorder="1"/>
    <xf numFmtId="0" fontId="8" fillId="0" borderId="0" xfId="0" applyFont="1"/>
    <xf numFmtId="0" fontId="2" fillId="4" borderId="14" xfId="0" applyFont="1" applyFill="1" applyBorder="1"/>
    <xf numFmtId="0" fontId="8" fillId="0" borderId="14" xfId="0" applyFont="1" applyFill="1" applyBorder="1"/>
    <xf numFmtId="4" fontId="8" fillId="0" borderId="16" xfId="0" applyNumberFormat="1" applyFont="1" applyFill="1" applyBorder="1"/>
    <xf numFmtId="0" fontId="2" fillId="0" borderId="14" xfId="0" applyFont="1" applyFill="1" applyBorder="1"/>
    <xf numFmtId="4" fontId="2" fillId="0" borderId="16" xfId="0" applyNumberFormat="1" applyFont="1" applyFill="1" applyBorder="1"/>
    <xf numFmtId="0" fontId="2" fillId="0" borderId="0" xfId="0" applyFont="1" applyFill="1"/>
    <xf numFmtId="4" fontId="9" fillId="0" borderId="16" xfId="0" applyNumberFormat="1" applyFont="1" applyBorder="1" applyAlignment="1">
      <alignment horizontal="center"/>
    </xf>
    <xf numFmtId="0" fontId="8" fillId="0" borderId="0" xfId="0" applyFont="1" applyFill="1"/>
    <xf numFmtId="0" fontId="8" fillId="0" borderId="15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4" fontId="8" fillId="2" borderId="22" xfId="0" applyNumberFormat="1" applyFont="1" applyFill="1" applyBorder="1"/>
    <xf numFmtId="0" fontId="8" fillId="2" borderId="24" xfId="0" applyFont="1" applyFill="1" applyBorder="1"/>
    <xf numFmtId="0" fontId="8" fillId="2" borderId="14" xfId="0" applyFont="1" applyFill="1" applyBorder="1"/>
    <xf numFmtId="10" fontId="8" fillId="2" borderId="16" xfId="0" applyNumberFormat="1" applyFont="1" applyFill="1" applyBorder="1"/>
    <xf numFmtId="0" fontId="8" fillId="2" borderId="25" xfId="0" applyFont="1" applyFill="1" applyBorder="1"/>
    <xf numFmtId="0" fontId="8" fillId="2" borderId="26" xfId="0" applyFont="1" applyFill="1" applyBorder="1"/>
    <xf numFmtId="4" fontId="8" fillId="2" borderId="27" xfId="0" applyNumberFormat="1" applyFont="1" applyFill="1" applyBorder="1"/>
    <xf numFmtId="4" fontId="2" fillId="0" borderId="0" xfId="0" applyNumberFormat="1" applyFont="1"/>
    <xf numFmtId="164" fontId="2" fillId="0" borderId="17" xfId="0" applyNumberFormat="1" applyFont="1" applyBorder="1"/>
    <xf numFmtId="164" fontId="8" fillId="3" borderId="19" xfId="0" applyNumberFormat="1" applyFont="1" applyFill="1" applyBorder="1"/>
    <xf numFmtId="164" fontId="2" fillId="0" borderId="17" xfId="0" applyNumberFormat="1" applyFont="1" applyBorder="1" applyAlignment="1">
      <alignment horizontal="right"/>
    </xf>
    <xf numFmtId="164" fontId="8" fillId="0" borderId="17" xfId="0" applyNumberFormat="1" applyFont="1" applyBorder="1"/>
    <xf numFmtId="164" fontId="8" fillId="0" borderId="17" xfId="0" applyNumberFormat="1" applyFont="1" applyFill="1" applyBorder="1"/>
    <xf numFmtId="164" fontId="2" fillId="0" borderId="17" xfId="0" applyNumberFormat="1" applyFont="1" applyFill="1" applyBorder="1"/>
    <xf numFmtId="164" fontId="8" fillId="2" borderId="3" xfId="0" applyNumberFormat="1" applyFont="1" applyFill="1" applyBorder="1"/>
    <xf numFmtId="164" fontId="8" fillId="2" borderId="5" xfId="0" applyNumberFormat="1" applyFont="1" applyFill="1" applyBorder="1"/>
    <xf numFmtId="164" fontId="8" fillId="2" borderId="8" xfId="0" applyNumberFormat="1" applyFont="1" applyFill="1" applyBorder="1"/>
    <xf numFmtId="0" fontId="2" fillId="0" borderId="17" xfId="0" applyFont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7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4" fontId="4" fillId="0" borderId="7" xfId="0" applyNumberFormat="1" applyFont="1" applyBorder="1" applyAlignment="1">
      <alignment horizontal="center"/>
    </xf>
    <xf numFmtId="4" fontId="3" fillId="0" borderId="11" xfId="0" applyNumberFormat="1" applyFont="1" applyBorder="1" applyAlignment="1">
      <alignment horizontal="center"/>
    </xf>
    <xf numFmtId="4" fontId="2" fillId="0" borderId="16" xfId="0" applyNumberFormat="1" applyFont="1" applyBorder="1" applyAlignment="1">
      <alignment horizontal="center"/>
    </xf>
    <xf numFmtId="4" fontId="8" fillId="3" borderId="18" xfId="0" applyNumberFormat="1" applyFont="1" applyFill="1" applyBorder="1" applyAlignment="1">
      <alignment horizontal="center"/>
    </xf>
    <xf numFmtId="4" fontId="8" fillId="0" borderId="16" xfId="0" applyNumberFormat="1" applyFont="1" applyBorder="1" applyAlignment="1">
      <alignment horizontal="center"/>
    </xf>
    <xf numFmtId="4" fontId="8" fillId="0" borderId="16" xfId="0" applyNumberFormat="1" applyFont="1" applyFill="1" applyBorder="1" applyAlignment="1">
      <alignment horizontal="center"/>
    </xf>
    <xf numFmtId="4" fontId="2" fillId="0" borderId="16" xfId="0" applyNumberFormat="1" applyFont="1" applyFill="1" applyBorder="1" applyAlignment="1">
      <alignment horizontal="center"/>
    </xf>
    <xf numFmtId="4" fontId="8" fillId="2" borderId="22" xfId="0" applyNumberFormat="1" applyFont="1" applyFill="1" applyBorder="1" applyAlignment="1">
      <alignment horizontal="center"/>
    </xf>
    <xf numFmtId="4" fontId="8" fillId="2" borderId="16" xfId="0" applyNumberFormat="1" applyFont="1" applyFill="1" applyBorder="1" applyAlignment="1">
      <alignment horizontal="center"/>
    </xf>
    <xf numFmtId="4" fontId="8" fillId="2" borderId="27" xfId="0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164" fontId="9" fillId="0" borderId="17" xfId="0" applyNumberFormat="1" applyFont="1" applyBorder="1" applyAlignment="1">
      <alignment horizontal="center"/>
    </xf>
    <xf numFmtId="4" fontId="7" fillId="0" borderId="16" xfId="0" applyNumberFormat="1" applyFont="1" applyBorder="1"/>
    <xf numFmtId="164" fontId="7" fillId="0" borderId="17" xfId="0" applyNumberFormat="1" applyFont="1" applyBorder="1"/>
    <xf numFmtId="4" fontId="8" fillId="5" borderId="18" xfId="0" applyNumberFormat="1" applyFont="1" applyFill="1" applyBorder="1"/>
    <xf numFmtId="164" fontId="8" fillId="5" borderId="19" xfId="0" applyNumberFormat="1" applyFont="1" applyFill="1" applyBorder="1"/>
    <xf numFmtId="0" fontId="2" fillId="6" borderId="14" xfId="0" applyFont="1" applyFill="1" applyBorder="1"/>
    <xf numFmtId="4" fontId="2" fillId="6" borderId="16" xfId="0" applyNumberFormat="1" applyFont="1" applyFill="1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4" fontId="2" fillId="6" borderId="16" xfId="0" applyNumberFormat="1" applyFont="1" applyFill="1" applyBorder="1"/>
    <xf numFmtId="164" fontId="2" fillId="6" borderId="17" xfId="0" applyNumberFormat="1" applyFont="1" applyFill="1" applyBorder="1"/>
    <xf numFmtId="0" fontId="1" fillId="0" borderId="14" xfId="0" applyFont="1" applyBorder="1"/>
    <xf numFmtId="0" fontId="3" fillId="7" borderId="1" xfId="0" applyNumberFormat="1" applyFont="1" applyFill="1" applyBorder="1"/>
    <xf numFmtId="0" fontId="3" fillId="7" borderId="3" xfId="0" applyNumberFormat="1" applyFont="1" applyFill="1" applyBorder="1"/>
    <xf numFmtId="0" fontId="3" fillId="7" borderId="4" xfId="0" applyNumberFormat="1" applyFont="1" applyFill="1" applyBorder="1"/>
    <xf numFmtId="0" fontId="3" fillId="7" borderId="5" xfId="0" applyNumberFormat="1" applyFont="1" applyFill="1" applyBorder="1"/>
    <xf numFmtId="0" fontId="3" fillId="7" borderId="6" xfId="0" applyNumberFormat="1" applyFont="1" applyFill="1" applyBorder="1"/>
    <xf numFmtId="0" fontId="5" fillId="7" borderId="4" xfId="0" applyNumberFormat="1" applyFont="1" applyFill="1" applyBorder="1"/>
    <xf numFmtId="0" fontId="6" fillId="7" borderId="4" xfId="0" applyNumberFormat="1" applyFont="1" applyFill="1" applyBorder="1"/>
    <xf numFmtId="0" fontId="6" fillId="7" borderId="5" xfId="0" applyNumberFormat="1" applyFont="1" applyFill="1" applyBorder="1"/>
    <xf numFmtId="0" fontId="3" fillId="7" borderId="8" xfId="0" applyNumberFormat="1" applyFont="1" applyFill="1" applyBorder="1"/>
    <xf numFmtId="4" fontId="8" fillId="0" borderId="0" xfId="0" applyNumberFormat="1" applyFont="1"/>
    <xf numFmtId="4" fontId="2" fillId="0" borderId="0" xfId="0" applyNumberFormat="1" applyFont="1" applyFill="1"/>
    <xf numFmtId="4" fontId="8" fillId="0" borderId="0" xfId="0" applyNumberFormat="1" applyFont="1" applyFill="1"/>
    <xf numFmtId="4" fontId="1" fillId="0" borderId="0" xfId="0" applyNumberFormat="1" applyFont="1"/>
    <xf numFmtId="4" fontId="1" fillId="0" borderId="0" xfId="0" applyNumberFormat="1" applyFont="1" applyFill="1"/>
    <xf numFmtId="4" fontId="8" fillId="7" borderId="22" xfId="0" applyNumberFormat="1" applyFont="1" applyFill="1" applyBorder="1"/>
    <xf numFmtId="164" fontId="8" fillId="7" borderId="3" xfId="0" applyNumberFormat="1" applyFont="1" applyFill="1" applyBorder="1"/>
    <xf numFmtId="10" fontId="8" fillId="7" borderId="16" xfId="0" applyNumberFormat="1" applyFont="1" applyFill="1" applyBorder="1"/>
    <xf numFmtId="164" fontId="8" fillId="7" borderId="5" xfId="0" applyNumberFormat="1" applyFont="1" applyFill="1" applyBorder="1"/>
    <xf numFmtId="4" fontId="8" fillId="7" borderId="27" xfId="0" applyNumberFormat="1" applyFont="1" applyFill="1" applyBorder="1"/>
    <xf numFmtId="164" fontId="8" fillId="7" borderId="8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1"/>
  <sheetViews>
    <sheetView tabSelected="1" workbookViewId="0">
      <pane ySplit="9" topLeftCell="A505" activePane="bottomLeft" state="frozen"/>
      <selection pane="bottomLeft" activeCell="J536" sqref="J536"/>
    </sheetView>
  </sheetViews>
  <sheetFormatPr baseColWidth="10" defaultRowHeight="13.8" x14ac:dyDescent="0.25"/>
  <cols>
    <col min="1" max="1" width="16.33203125" style="27" customWidth="1"/>
    <col min="2" max="2" width="7" style="27" hidden="1" customWidth="1"/>
    <col min="3" max="3" width="68.33203125" style="27" customWidth="1"/>
    <col min="4" max="4" width="10.5546875" style="86" customWidth="1"/>
    <col min="5" max="5" width="10.5546875" style="73" customWidth="1"/>
    <col min="6" max="6" width="11.6640625" style="55" bestFit="1" customWidth="1"/>
    <col min="7" max="7" width="15.6640625" style="55" bestFit="1" customWidth="1"/>
    <col min="8" max="8" width="11.6640625" style="55" bestFit="1" customWidth="1"/>
    <col min="9" max="9" width="15.6640625" style="55" bestFit="1" customWidth="1"/>
    <col min="10" max="10" width="11.5546875" style="27"/>
    <col min="11" max="11" width="11.5546875" style="55"/>
    <col min="12" max="16384" width="11.5546875" style="27"/>
  </cols>
  <sheetData>
    <row r="1" spans="1:9" x14ac:dyDescent="0.25">
      <c r="A1" s="1" t="s">
        <v>0</v>
      </c>
      <c r="B1" s="2"/>
      <c r="C1" s="25" t="s">
        <v>616</v>
      </c>
      <c r="D1" s="74"/>
      <c r="E1" s="3"/>
      <c r="F1" s="4" t="s">
        <v>1</v>
      </c>
      <c r="G1" s="5" t="s">
        <v>562</v>
      </c>
      <c r="H1" s="98" t="s">
        <v>1</v>
      </c>
      <c r="I1" s="99" t="s">
        <v>620</v>
      </c>
    </row>
    <row r="2" spans="1:9" x14ac:dyDescent="0.25">
      <c r="A2" s="6"/>
      <c r="B2" s="7"/>
      <c r="C2" s="26"/>
      <c r="D2" s="75"/>
      <c r="E2" s="8"/>
      <c r="F2" s="9" t="s">
        <v>2</v>
      </c>
      <c r="G2" s="10"/>
      <c r="H2" s="100" t="s">
        <v>2</v>
      </c>
      <c r="I2" s="101"/>
    </row>
    <row r="3" spans="1:9" ht="14.4" thickBot="1" x14ac:dyDescent="0.3">
      <c r="A3" s="6" t="s">
        <v>3</v>
      </c>
      <c r="B3" s="7"/>
      <c r="C3" s="26" t="s">
        <v>433</v>
      </c>
      <c r="D3" s="75"/>
      <c r="E3" s="8"/>
      <c r="F3" s="11" t="s">
        <v>4</v>
      </c>
      <c r="G3" s="10"/>
      <c r="H3" s="102" t="s">
        <v>4</v>
      </c>
      <c r="I3" s="101"/>
    </row>
    <row r="4" spans="1:9" x14ac:dyDescent="0.25">
      <c r="A4" s="28"/>
      <c r="B4" s="7"/>
      <c r="C4" s="7"/>
      <c r="D4" s="75"/>
      <c r="E4" s="8"/>
      <c r="F4" s="12" t="s">
        <v>5</v>
      </c>
      <c r="G4" s="10"/>
      <c r="H4" s="103" t="s">
        <v>5</v>
      </c>
      <c r="I4" s="101"/>
    </row>
    <row r="5" spans="1:9" x14ac:dyDescent="0.25">
      <c r="A5" s="13"/>
      <c r="B5" s="7"/>
      <c r="C5" s="7"/>
      <c r="D5" s="75"/>
      <c r="E5" s="8"/>
      <c r="F5" s="14" t="s">
        <v>6</v>
      </c>
      <c r="G5" s="15" t="s">
        <v>7</v>
      </c>
      <c r="H5" s="104" t="s">
        <v>6</v>
      </c>
      <c r="I5" s="105" t="s">
        <v>7</v>
      </c>
    </row>
    <row r="6" spans="1:9" x14ac:dyDescent="0.25">
      <c r="A6" s="13"/>
      <c r="B6" s="7"/>
      <c r="C6" s="7"/>
      <c r="D6" s="75"/>
      <c r="E6" s="8"/>
      <c r="F6" s="9"/>
      <c r="G6" s="10"/>
      <c r="H6" s="100"/>
      <c r="I6" s="101"/>
    </row>
    <row r="7" spans="1:9" x14ac:dyDescent="0.25">
      <c r="A7" s="13"/>
      <c r="B7" s="7"/>
      <c r="C7" s="7"/>
      <c r="D7" s="75"/>
      <c r="E7" s="8"/>
      <c r="F7" s="14" t="s">
        <v>8</v>
      </c>
      <c r="G7" s="15" t="s">
        <v>9</v>
      </c>
      <c r="H7" s="104" t="s">
        <v>8</v>
      </c>
      <c r="I7" s="105" t="s">
        <v>9</v>
      </c>
    </row>
    <row r="8" spans="1:9" ht="14.4" thickBot="1" x14ac:dyDescent="0.3">
      <c r="A8" s="16"/>
      <c r="B8" s="17"/>
      <c r="C8" s="17"/>
      <c r="D8" s="76"/>
      <c r="E8" s="18"/>
      <c r="F8" s="11"/>
      <c r="G8" s="19"/>
      <c r="H8" s="102"/>
      <c r="I8" s="106"/>
    </row>
    <row r="9" spans="1:9" ht="14.4" thickBot="1" x14ac:dyDescent="0.3">
      <c r="A9" s="20" t="s">
        <v>10</v>
      </c>
      <c r="B9" s="20" t="s">
        <v>11</v>
      </c>
      <c r="C9" s="21" t="s">
        <v>12</v>
      </c>
      <c r="D9" s="77" t="s">
        <v>13</v>
      </c>
      <c r="E9" s="22" t="s">
        <v>14</v>
      </c>
      <c r="F9" s="23" t="s">
        <v>15</v>
      </c>
      <c r="G9" s="24" t="s">
        <v>16</v>
      </c>
      <c r="H9" s="23" t="s">
        <v>15</v>
      </c>
      <c r="I9" s="24" t="s">
        <v>16</v>
      </c>
    </row>
    <row r="10" spans="1:9" x14ac:dyDescent="0.25">
      <c r="A10" s="92" t="s">
        <v>17</v>
      </c>
      <c r="B10" s="92"/>
      <c r="C10" s="92" t="s">
        <v>434</v>
      </c>
      <c r="D10" s="93"/>
      <c r="E10" s="94"/>
      <c r="F10" s="95"/>
      <c r="G10" s="96"/>
      <c r="H10" s="95"/>
      <c r="I10" s="96"/>
    </row>
    <row r="11" spans="1:9" x14ac:dyDescent="0.25">
      <c r="A11" s="31"/>
      <c r="B11" s="31"/>
      <c r="C11" s="31"/>
      <c r="D11" s="78"/>
      <c r="E11" s="65"/>
      <c r="F11" s="30"/>
      <c r="G11" s="56"/>
      <c r="H11" s="30"/>
      <c r="I11" s="56"/>
    </row>
    <row r="12" spans="1:9" x14ac:dyDescent="0.25">
      <c r="A12" s="31" t="s">
        <v>19</v>
      </c>
      <c r="B12" s="31"/>
      <c r="C12" s="31" t="s">
        <v>436</v>
      </c>
      <c r="D12" s="78">
        <v>1</v>
      </c>
      <c r="E12" s="65" t="s">
        <v>553</v>
      </c>
      <c r="F12" s="30"/>
      <c r="G12" s="56">
        <f>$D12*F12</f>
        <v>0</v>
      </c>
      <c r="H12" s="55">
        <v>216260</v>
      </c>
      <c r="I12" s="56">
        <f>$D12*H12</f>
        <v>216260</v>
      </c>
    </row>
    <row r="13" spans="1:9" x14ac:dyDescent="0.25">
      <c r="A13" s="32" t="s">
        <v>18</v>
      </c>
      <c r="B13" s="32"/>
      <c r="C13" s="32" t="s">
        <v>435</v>
      </c>
      <c r="D13" s="79"/>
      <c r="E13" s="66"/>
      <c r="F13" s="33"/>
      <c r="G13" s="57">
        <f>SUM(G12)</f>
        <v>0</v>
      </c>
      <c r="H13" s="33"/>
      <c r="I13" s="57">
        <f>SUM(I12)</f>
        <v>216260</v>
      </c>
    </row>
    <row r="14" spans="1:9" x14ac:dyDescent="0.25">
      <c r="A14" s="31"/>
      <c r="B14" s="31"/>
      <c r="C14" s="31"/>
      <c r="D14" s="78"/>
      <c r="E14" s="65"/>
      <c r="F14" s="30"/>
      <c r="G14" s="56"/>
      <c r="H14" s="30"/>
      <c r="I14" s="56"/>
    </row>
    <row r="15" spans="1:9" x14ac:dyDescent="0.25">
      <c r="A15" s="31" t="s">
        <v>21</v>
      </c>
      <c r="B15" s="31" t="s">
        <v>432</v>
      </c>
      <c r="C15" s="31" t="s">
        <v>437</v>
      </c>
      <c r="D15" s="78">
        <v>735</v>
      </c>
      <c r="E15" s="65" t="s">
        <v>554</v>
      </c>
      <c r="F15" s="30"/>
      <c r="G15" s="58" t="s">
        <v>561</v>
      </c>
      <c r="H15" s="55">
        <v>475.77</v>
      </c>
      <c r="I15" s="58" t="s">
        <v>561</v>
      </c>
    </row>
    <row r="16" spans="1:9" x14ac:dyDescent="0.25">
      <c r="A16" s="31" t="s">
        <v>22</v>
      </c>
      <c r="B16" s="31" t="s">
        <v>432</v>
      </c>
      <c r="C16" s="31" t="s">
        <v>438</v>
      </c>
      <c r="D16" s="78">
        <v>130</v>
      </c>
      <c r="E16" s="65" t="s">
        <v>554</v>
      </c>
      <c r="F16" s="30"/>
      <c r="G16" s="58" t="s">
        <v>561</v>
      </c>
      <c r="H16" s="55">
        <v>254.11</v>
      </c>
      <c r="I16" s="58" t="s">
        <v>561</v>
      </c>
    </row>
    <row r="17" spans="1:11" x14ac:dyDescent="0.25">
      <c r="A17" s="31" t="s">
        <v>23</v>
      </c>
      <c r="B17" s="31" t="s">
        <v>432</v>
      </c>
      <c r="C17" s="31" t="s">
        <v>439</v>
      </c>
      <c r="D17" s="78">
        <v>735</v>
      </c>
      <c r="E17" s="65" t="s">
        <v>554</v>
      </c>
      <c r="F17" s="30"/>
      <c r="G17" s="58" t="s">
        <v>561</v>
      </c>
      <c r="H17" s="55">
        <v>118.94</v>
      </c>
      <c r="I17" s="58" t="s">
        <v>561</v>
      </c>
    </row>
    <row r="18" spans="1:11" x14ac:dyDescent="0.25">
      <c r="A18" s="31" t="s">
        <v>24</v>
      </c>
      <c r="B18" s="31" t="s">
        <v>432</v>
      </c>
      <c r="C18" s="31" t="s">
        <v>440</v>
      </c>
      <c r="D18" s="78">
        <v>1</v>
      </c>
      <c r="E18" s="65" t="s">
        <v>553</v>
      </c>
      <c r="F18" s="30"/>
      <c r="G18" s="58" t="s">
        <v>561</v>
      </c>
      <c r="H18" s="55">
        <v>4915</v>
      </c>
      <c r="I18" s="58" t="s">
        <v>561</v>
      </c>
    </row>
    <row r="19" spans="1:11" x14ac:dyDescent="0.25">
      <c r="A19" s="31" t="s">
        <v>25</v>
      </c>
      <c r="B19" s="31" t="s">
        <v>432</v>
      </c>
      <c r="C19" s="31" t="s">
        <v>441</v>
      </c>
      <c r="D19" s="78">
        <v>1</v>
      </c>
      <c r="E19" s="65" t="s">
        <v>553</v>
      </c>
      <c r="F19" s="30"/>
      <c r="G19" s="58" t="s">
        <v>561</v>
      </c>
      <c r="H19" s="55">
        <v>17694</v>
      </c>
      <c r="I19" s="58" t="s">
        <v>561</v>
      </c>
    </row>
    <row r="20" spans="1:11" x14ac:dyDescent="0.25">
      <c r="A20" s="31" t="s">
        <v>26</v>
      </c>
      <c r="B20" s="31" t="s">
        <v>432</v>
      </c>
      <c r="C20" s="31" t="s">
        <v>442</v>
      </c>
      <c r="D20" s="78">
        <v>180</v>
      </c>
      <c r="E20" s="65" t="s">
        <v>555</v>
      </c>
      <c r="F20" s="30"/>
      <c r="G20" s="58" t="s">
        <v>561</v>
      </c>
      <c r="H20" s="55">
        <v>181.86</v>
      </c>
      <c r="I20" s="58" t="s">
        <v>561</v>
      </c>
    </row>
    <row r="21" spans="1:11" x14ac:dyDescent="0.25">
      <c r="A21" s="31" t="s">
        <v>27</v>
      </c>
      <c r="B21" s="31" t="s">
        <v>432</v>
      </c>
      <c r="C21" s="31" t="s">
        <v>443</v>
      </c>
      <c r="D21" s="78">
        <v>115</v>
      </c>
      <c r="E21" s="65" t="s">
        <v>556</v>
      </c>
      <c r="F21" s="30"/>
      <c r="G21" s="58" t="s">
        <v>561</v>
      </c>
      <c r="H21" s="110">
        <v>24.58</v>
      </c>
      <c r="I21" s="58" t="s">
        <v>561</v>
      </c>
    </row>
    <row r="22" spans="1:11" x14ac:dyDescent="0.25">
      <c r="A22" s="32" t="s">
        <v>20</v>
      </c>
      <c r="B22" s="32"/>
      <c r="C22" s="32" t="s">
        <v>437</v>
      </c>
      <c r="D22" s="79"/>
      <c r="E22" s="66"/>
      <c r="F22" s="33"/>
      <c r="G22" s="57">
        <f>SUM(G15:G21)</f>
        <v>0</v>
      </c>
      <c r="H22" s="33"/>
      <c r="I22" s="57">
        <f>SUM(I15:I21)</f>
        <v>0</v>
      </c>
    </row>
    <row r="23" spans="1:11" x14ac:dyDescent="0.25">
      <c r="A23" s="31"/>
      <c r="B23" s="31"/>
      <c r="C23" s="31"/>
      <c r="D23" s="78"/>
      <c r="E23" s="65"/>
      <c r="F23" s="30"/>
      <c r="G23" s="56"/>
      <c r="H23" s="30"/>
      <c r="I23" s="56"/>
    </row>
    <row r="24" spans="1:11" s="36" customFormat="1" x14ac:dyDescent="0.25">
      <c r="A24" s="34"/>
      <c r="B24" s="34"/>
      <c r="C24" s="34" t="s">
        <v>445</v>
      </c>
      <c r="D24" s="80"/>
      <c r="E24" s="67"/>
      <c r="F24" s="35"/>
      <c r="G24" s="59"/>
      <c r="H24" s="35"/>
      <c r="I24" s="59"/>
      <c r="K24" s="107"/>
    </row>
    <row r="25" spans="1:11" x14ac:dyDescent="0.25">
      <c r="A25" s="31" t="s">
        <v>29</v>
      </c>
      <c r="B25" s="31"/>
      <c r="C25" s="31" t="s">
        <v>446</v>
      </c>
      <c r="D25" s="78">
        <v>1631</v>
      </c>
      <c r="E25" s="65" t="s">
        <v>554</v>
      </c>
      <c r="F25" s="30">
        <v>1.2</v>
      </c>
      <c r="G25" s="58">
        <f t="shared" ref="G25:G80" si="0">$D25*F25</f>
        <v>1957.1999999999998</v>
      </c>
      <c r="H25" s="55">
        <v>0.84</v>
      </c>
      <c r="I25" s="58">
        <f t="shared" ref="I25:I28" si="1">$D25*H25</f>
        <v>1370.04</v>
      </c>
    </row>
    <row r="26" spans="1:11" x14ac:dyDescent="0.25">
      <c r="A26" s="31" t="s">
        <v>30</v>
      </c>
      <c r="B26" s="31"/>
      <c r="C26" s="31" t="s">
        <v>447</v>
      </c>
      <c r="D26" s="78">
        <v>1631</v>
      </c>
      <c r="E26" s="65" t="s">
        <v>554</v>
      </c>
      <c r="F26" s="30">
        <v>2.9</v>
      </c>
      <c r="G26" s="58">
        <f t="shared" si="0"/>
        <v>4729.8999999999996</v>
      </c>
      <c r="H26" s="55">
        <v>3.15</v>
      </c>
      <c r="I26" s="58">
        <f t="shared" si="1"/>
        <v>5137.6499999999996</v>
      </c>
    </row>
    <row r="27" spans="1:11" x14ac:dyDescent="0.25">
      <c r="A27" s="31" t="s">
        <v>31</v>
      </c>
      <c r="B27" s="31"/>
      <c r="C27" s="31" t="s">
        <v>448</v>
      </c>
      <c r="D27" s="78">
        <v>315</v>
      </c>
      <c r="E27" s="65" t="s">
        <v>556</v>
      </c>
      <c r="F27" s="30">
        <v>2.4</v>
      </c>
      <c r="G27" s="58">
        <f t="shared" si="0"/>
        <v>756</v>
      </c>
      <c r="H27" s="55">
        <v>2.83</v>
      </c>
      <c r="I27" s="58">
        <f t="shared" si="1"/>
        <v>891.45</v>
      </c>
    </row>
    <row r="28" spans="1:11" x14ac:dyDescent="0.25">
      <c r="A28" s="31" t="s">
        <v>32</v>
      </c>
      <c r="B28" s="31"/>
      <c r="C28" s="31" t="s">
        <v>449</v>
      </c>
      <c r="D28" s="78">
        <v>1631</v>
      </c>
      <c r="E28" s="65" t="s">
        <v>554</v>
      </c>
      <c r="F28" s="30">
        <v>18.899999999999999</v>
      </c>
      <c r="G28" s="58">
        <f t="shared" si="0"/>
        <v>30825.899999999998</v>
      </c>
      <c r="H28" s="55">
        <v>16.22</v>
      </c>
      <c r="I28" s="58">
        <f t="shared" si="1"/>
        <v>26454.82</v>
      </c>
    </row>
    <row r="29" spans="1:11" x14ac:dyDescent="0.25">
      <c r="A29" s="37" t="s">
        <v>563</v>
      </c>
      <c r="B29" s="31"/>
      <c r="C29" s="31" t="s">
        <v>564</v>
      </c>
      <c r="D29" s="78">
        <v>1631</v>
      </c>
      <c r="E29" s="65" t="s">
        <v>554</v>
      </c>
      <c r="F29" s="30">
        <v>20.8</v>
      </c>
      <c r="G29" s="58" t="s">
        <v>561</v>
      </c>
      <c r="I29" s="58"/>
    </row>
    <row r="30" spans="1:11" x14ac:dyDescent="0.25">
      <c r="A30" s="31" t="s">
        <v>33</v>
      </c>
      <c r="B30" s="31"/>
      <c r="C30" s="31" t="s">
        <v>450</v>
      </c>
      <c r="D30" s="78">
        <v>1631</v>
      </c>
      <c r="E30" s="65" t="s">
        <v>554</v>
      </c>
      <c r="F30" s="30">
        <v>19.899999999999999</v>
      </c>
      <c r="G30" s="58">
        <f t="shared" si="0"/>
        <v>32456.899999999998</v>
      </c>
      <c r="H30" s="55">
        <v>17.2</v>
      </c>
      <c r="I30" s="58">
        <f t="shared" ref="I30" si="2">$D30*H30</f>
        <v>28053.199999999997</v>
      </c>
    </row>
    <row r="31" spans="1:11" x14ac:dyDescent="0.25">
      <c r="A31" s="37" t="s">
        <v>565</v>
      </c>
      <c r="B31" s="31"/>
      <c r="C31" s="31" t="s">
        <v>564</v>
      </c>
      <c r="D31" s="78">
        <v>1631</v>
      </c>
      <c r="E31" s="65" t="s">
        <v>554</v>
      </c>
      <c r="F31" s="30">
        <v>21.5</v>
      </c>
      <c r="G31" s="58" t="s">
        <v>561</v>
      </c>
      <c r="I31" s="58"/>
    </row>
    <row r="32" spans="1:11" x14ac:dyDescent="0.25">
      <c r="A32" s="31" t="s">
        <v>34</v>
      </c>
      <c r="B32" s="31"/>
      <c r="C32" s="31" t="s">
        <v>451</v>
      </c>
      <c r="D32" s="78">
        <v>315</v>
      </c>
      <c r="E32" s="65" t="s">
        <v>556</v>
      </c>
      <c r="F32" s="30">
        <v>65</v>
      </c>
      <c r="G32" s="58">
        <f t="shared" si="0"/>
        <v>20475</v>
      </c>
      <c r="H32" s="55">
        <v>30.08</v>
      </c>
      <c r="I32" s="58">
        <f t="shared" ref="I32" si="3">$D32*H32</f>
        <v>9475.1999999999989</v>
      </c>
    </row>
    <row r="33" spans="1:11" x14ac:dyDescent="0.25">
      <c r="A33" s="37" t="s">
        <v>566</v>
      </c>
      <c r="B33" s="31"/>
      <c r="C33" s="31" t="s">
        <v>567</v>
      </c>
      <c r="D33" s="78">
        <v>315</v>
      </c>
      <c r="E33" s="65" t="s">
        <v>556</v>
      </c>
      <c r="F33" s="30">
        <v>99</v>
      </c>
      <c r="G33" s="58" t="s">
        <v>561</v>
      </c>
      <c r="I33" s="58"/>
    </row>
    <row r="34" spans="1:11" x14ac:dyDescent="0.25">
      <c r="A34" s="31" t="s">
        <v>35</v>
      </c>
      <c r="B34" s="31"/>
      <c r="C34" s="31" t="s">
        <v>452</v>
      </c>
      <c r="D34" s="78">
        <v>315</v>
      </c>
      <c r="E34" s="65" t="s">
        <v>556</v>
      </c>
      <c r="F34" s="30" t="s">
        <v>568</v>
      </c>
      <c r="G34" s="58"/>
      <c r="H34" s="55">
        <v>3.78</v>
      </c>
      <c r="I34" s="58">
        <f t="shared" ref="I34" si="4">$D34*H34</f>
        <v>1190.7</v>
      </c>
    </row>
    <row r="35" spans="1:11" x14ac:dyDescent="0.25">
      <c r="A35" s="31" t="s">
        <v>36</v>
      </c>
      <c r="B35" s="31"/>
      <c r="C35" s="31" t="s">
        <v>453</v>
      </c>
      <c r="D35" s="78">
        <v>1631</v>
      </c>
      <c r="E35" s="65" t="s">
        <v>554</v>
      </c>
      <c r="F35" s="30">
        <v>62.8</v>
      </c>
      <c r="G35" s="58">
        <f t="shared" si="0"/>
        <v>102426.79999999999</v>
      </c>
      <c r="H35" s="55">
        <v>42.96</v>
      </c>
      <c r="I35" s="58">
        <f t="shared" ref="I35" si="5">$D35*H35</f>
        <v>70067.759999999995</v>
      </c>
    </row>
    <row r="36" spans="1:11" x14ac:dyDescent="0.25">
      <c r="A36" s="37" t="s">
        <v>569</v>
      </c>
      <c r="B36" s="31"/>
      <c r="C36" s="31" t="s">
        <v>570</v>
      </c>
      <c r="D36" s="78">
        <v>1631</v>
      </c>
      <c r="E36" s="65" t="s">
        <v>554</v>
      </c>
      <c r="F36" s="30">
        <v>4.9000000000000004</v>
      </c>
      <c r="G36" s="58" t="s">
        <v>561</v>
      </c>
      <c r="I36" s="58"/>
    </row>
    <row r="37" spans="1:11" x14ac:dyDescent="0.25">
      <c r="A37" s="31" t="s">
        <v>37</v>
      </c>
      <c r="B37" s="31"/>
      <c r="C37" s="31" t="s">
        <v>454</v>
      </c>
      <c r="D37" s="78">
        <v>13</v>
      </c>
      <c r="E37" s="65" t="s">
        <v>553</v>
      </c>
      <c r="F37" s="30">
        <v>580</v>
      </c>
      <c r="G37" s="58">
        <f t="shared" si="0"/>
        <v>7540</v>
      </c>
      <c r="H37" s="55">
        <v>491.5</v>
      </c>
      <c r="I37" s="58">
        <f t="shared" ref="I37:I41" si="6">$D37*H37</f>
        <v>6389.5</v>
      </c>
    </row>
    <row r="38" spans="1:11" x14ac:dyDescent="0.25">
      <c r="A38" s="31" t="s">
        <v>38</v>
      </c>
      <c r="B38" s="31"/>
      <c r="C38" s="31" t="s">
        <v>455</v>
      </c>
      <c r="D38" s="78">
        <v>13</v>
      </c>
      <c r="E38" s="65" t="s">
        <v>553</v>
      </c>
      <c r="F38" s="30">
        <v>580</v>
      </c>
      <c r="G38" s="58">
        <f t="shared" si="0"/>
        <v>7540</v>
      </c>
      <c r="H38" s="55">
        <v>442.35</v>
      </c>
      <c r="I38" s="58">
        <f t="shared" si="6"/>
        <v>5750.55</v>
      </c>
    </row>
    <row r="39" spans="1:11" x14ac:dyDescent="0.25">
      <c r="A39" s="31" t="s">
        <v>39</v>
      </c>
      <c r="B39" s="31"/>
      <c r="C39" s="31" t="s">
        <v>456</v>
      </c>
      <c r="D39" s="78">
        <v>50</v>
      </c>
      <c r="E39" s="65" t="s">
        <v>553</v>
      </c>
      <c r="F39" s="30">
        <v>320</v>
      </c>
      <c r="G39" s="58">
        <f t="shared" si="0"/>
        <v>16000</v>
      </c>
      <c r="H39" s="55">
        <v>98.3</v>
      </c>
      <c r="I39" s="58">
        <f t="shared" si="6"/>
        <v>4915</v>
      </c>
    </row>
    <row r="40" spans="1:11" x14ac:dyDescent="0.25">
      <c r="A40" s="31" t="s">
        <v>40</v>
      </c>
      <c r="B40" s="31"/>
      <c r="C40" s="31" t="s">
        <v>457</v>
      </c>
      <c r="D40" s="78">
        <v>50</v>
      </c>
      <c r="E40" s="65" t="s">
        <v>553</v>
      </c>
      <c r="F40" s="30">
        <v>280</v>
      </c>
      <c r="G40" s="58">
        <f t="shared" si="0"/>
        <v>14000</v>
      </c>
      <c r="H40" s="55">
        <v>73.73</v>
      </c>
      <c r="I40" s="58">
        <f t="shared" si="6"/>
        <v>3686.5</v>
      </c>
    </row>
    <row r="41" spans="1:11" x14ac:dyDescent="0.25">
      <c r="A41" s="31" t="s">
        <v>41</v>
      </c>
      <c r="B41" s="31"/>
      <c r="C41" s="31" t="s">
        <v>458</v>
      </c>
      <c r="D41" s="78">
        <v>12</v>
      </c>
      <c r="E41" s="65" t="s">
        <v>556</v>
      </c>
      <c r="F41" s="30">
        <v>75</v>
      </c>
      <c r="G41" s="58">
        <f t="shared" si="0"/>
        <v>900</v>
      </c>
      <c r="H41" s="55">
        <v>78.64</v>
      </c>
      <c r="I41" s="58">
        <f t="shared" si="6"/>
        <v>943.68000000000006</v>
      </c>
    </row>
    <row r="42" spans="1:11" x14ac:dyDescent="0.25">
      <c r="A42" s="31" t="s">
        <v>42</v>
      </c>
      <c r="B42" s="31"/>
      <c r="C42" s="31" t="s">
        <v>459</v>
      </c>
      <c r="D42" s="78">
        <v>1631</v>
      </c>
      <c r="E42" s="65" t="s">
        <v>554</v>
      </c>
      <c r="F42" s="30"/>
      <c r="G42" s="58"/>
      <c r="H42" s="55">
        <v>2.95</v>
      </c>
      <c r="I42" s="58">
        <f t="shared" ref="I42:I44" si="7">$D42*H42</f>
        <v>4811.4500000000007</v>
      </c>
    </row>
    <row r="43" spans="1:11" x14ac:dyDescent="0.25">
      <c r="A43" s="37" t="s">
        <v>571</v>
      </c>
      <c r="B43" s="31"/>
      <c r="C43" s="31" t="s">
        <v>459</v>
      </c>
      <c r="D43" s="78">
        <v>1</v>
      </c>
      <c r="E43" s="65" t="s">
        <v>572</v>
      </c>
      <c r="F43" s="30">
        <v>2500</v>
      </c>
      <c r="G43" s="58">
        <f t="shared" si="0"/>
        <v>2500</v>
      </c>
      <c r="H43" s="30"/>
      <c r="I43" s="58"/>
    </row>
    <row r="44" spans="1:11" x14ac:dyDescent="0.25">
      <c r="A44" s="31" t="s">
        <v>43</v>
      </c>
      <c r="B44" s="31"/>
      <c r="C44" s="31" t="s">
        <v>460</v>
      </c>
      <c r="D44" s="78">
        <v>40</v>
      </c>
      <c r="E44" s="65" t="s">
        <v>553</v>
      </c>
      <c r="F44" s="30">
        <v>190</v>
      </c>
      <c r="G44" s="58">
        <f t="shared" si="0"/>
        <v>7600</v>
      </c>
      <c r="H44" s="55">
        <v>88.47</v>
      </c>
      <c r="I44" s="58">
        <f t="shared" si="7"/>
        <v>3538.8</v>
      </c>
    </row>
    <row r="45" spans="1:11" x14ac:dyDescent="0.25">
      <c r="A45" s="32" t="s">
        <v>28</v>
      </c>
      <c r="B45" s="32"/>
      <c r="C45" s="32" t="s">
        <v>444</v>
      </c>
      <c r="D45" s="79"/>
      <c r="E45" s="66"/>
      <c r="F45" s="90"/>
      <c r="G45" s="91">
        <f>SUM(G25:G44)</f>
        <v>249707.69999999998</v>
      </c>
      <c r="H45" s="90"/>
      <c r="I45" s="91">
        <f>SUM(I25:I44)</f>
        <v>172676.3</v>
      </c>
    </row>
    <row r="46" spans="1:11" x14ac:dyDescent="0.25">
      <c r="A46" s="31"/>
      <c r="B46" s="31"/>
      <c r="C46" s="31"/>
      <c r="D46" s="78"/>
      <c r="E46" s="65"/>
      <c r="F46" s="30"/>
      <c r="G46" s="58"/>
      <c r="H46" s="30"/>
      <c r="I46" s="58"/>
    </row>
    <row r="47" spans="1:11" s="36" customFormat="1" x14ac:dyDescent="0.25">
      <c r="A47" s="34"/>
      <c r="B47" s="34"/>
      <c r="C47" s="34" t="s">
        <v>462</v>
      </c>
      <c r="D47" s="80"/>
      <c r="E47" s="67"/>
      <c r="F47" s="30"/>
      <c r="G47" s="58"/>
      <c r="H47" s="30"/>
      <c r="I47" s="58"/>
      <c r="K47" s="110"/>
    </row>
    <row r="48" spans="1:11" x14ac:dyDescent="0.25">
      <c r="A48" s="31" t="s">
        <v>45</v>
      </c>
      <c r="B48" s="31"/>
      <c r="C48" s="31" t="s">
        <v>463</v>
      </c>
      <c r="D48" s="78">
        <v>1006</v>
      </c>
      <c r="E48" s="65" t="s">
        <v>554</v>
      </c>
      <c r="F48" s="30">
        <v>2.7</v>
      </c>
      <c r="G48" s="58">
        <f t="shared" si="0"/>
        <v>2716.2000000000003</v>
      </c>
      <c r="H48" s="110">
        <v>2.6</v>
      </c>
      <c r="I48" s="58">
        <f t="shared" ref="I48:I49" si="8">$D48*H48</f>
        <v>2615.6</v>
      </c>
    </row>
    <row r="49" spans="1:11" x14ac:dyDescent="0.25">
      <c r="A49" s="31" t="s">
        <v>46</v>
      </c>
      <c r="B49" s="31"/>
      <c r="C49" s="31" t="s">
        <v>464</v>
      </c>
      <c r="D49" s="78">
        <v>1006</v>
      </c>
      <c r="E49" s="65" t="s">
        <v>554</v>
      </c>
      <c r="F49" s="30">
        <v>49.9</v>
      </c>
      <c r="G49" s="58">
        <f t="shared" si="0"/>
        <v>50199.4</v>
      </c>
      <c r="H49" s="55">
        <v>43.4</v>
      </c>
      <c r="I49" s="58">
        <f t="shared" si="8"/>
        <v>43660.4</v>
      </c>
    </row>
    <row r="50" spans="1:11" x14ac:dyDescent="0.25">
      <c r="A50" s="37" t="s">
        <v>573</v>
      </c>
      <c r="B50" s="31"/>
      <c r="C50" s="31" t="s">
        <v>574</v>
      </c>
      <c r="D50" s="78">
        <v>1006</v>
      </c>
      <c r="E50" s="65" t="s">
        <v>554</v>
      </c>
      <c r="F50" s="30">
        <v>31.8</v>
      </c>
      <c r="G50" s="58" t="s">
        <v>561</v>
      </c>
      <c r="H50" s="30"/>
      <c r="I50" s="58"/>
    </row>
    <row r="51" spans="1:11" x14ac:dyDescent="0.25">
      <c r="A51" s="31" t="s">
        <v>47</v>
      </c>
      <c r="B51" s="31"/>
      <c r="C51" s="31" t="s">
        <v>465</v>
      </c>
      <c r="D51" s="78">
        <v>1006</v>
      </c>
      <c r="E51" s="65" t="s">
        <v>554</v>
      </c>
      <c r="F51" s="30">
        <v>6.3</v>
      </c>
      <c r="G51" s="58">
        <f t="shared" si="0"/>
        <v>6337.8</v>
      </c>
      <c r="H51" s="55">
        <v>5.31</v>
      </c>
      <c r="I51" s="58">
        <f t="shared" ref="I51:I58" si="9">$D51*H51</f>
        <v>5341.86</v>
      </c>
    </row>
    <row r="52" spans="1:11" x14ac:dyDescent="0.25">
      <c r="A52" s="31" t="s">
        <v>48</v>
      </c>
      <c r="B52" s="31"/>
      <c r="C52" s="31" t="s">
        <v>466</v>
      </c>
      <c r="D52" s="78">
        <v>663</v>
      </c>
      <c r="E52" s="65" t="s">
        <v>554</v>
      </c>
      <c r="F52" s="30">
        <v>15.8</v>
      </c>
      <c r="G52" s="58">
        <f t="shared" si="0"/>
        <v>10475.4</v>
      </c>
      <c r="H52" s="55">
        <v>8.6999999999999993</v>
      </c>
      <c r="I52" s="58">
        <f t="shared" si="9"/>
        <v>5768.0999999999995</v>
      </c>
    </row>
    <row r="53" spans="1:11" x14ac:dyDescent="0.25">
      <c r="A53" s="31" t="s">
        <v>49</v>
      </c>
      <c r="B53" s="31"/>
      <c r="C53" s="31" t="s">
        <v>467</v>
      </c>
      <c r="D53" s="78">
        <v>663</v>
      </c>
      <c r="E53" s="65" t="s">
        <v>554</v>
      </c>
      <c r="F53" s="30">
        <v>16.2</v>
      </c>
      <c r="G53" s="58">
        <f t="shared" si="0"/>
        <v>10740.6</v>
      </c>
      <c r="H53" s="55">
        <v>8.9499999999999993</v>
      </c>
      <c r="I53" s="58">
        <f t="shared" si="9"/>
        <v>5933.8499999999995</v>
      </c>
    </row>
    <row r="54" spans="1:11" x14ac:dyDescent="0.25">
      <c r="A54" s="31" t="s">
        <v>50</v>
      </c>
      <c r="B54" s="31"/>
      <c r="C54" s="31" t="s">
        <v>468</v>
      </c>
      <c r="D54" s="78">
        <v>663</v>
      </c>
      <c r="E54" s="65" t="s">
        <v>554</v>
      </c>
      <c r="F54" s="30">
        <v>8.9</v>
      </c>
      <c r="G54" s="58">
        <f t="shared" si="0"/>
        <v>5900.7</v>
      </c>
      <c r="H54" s="55">
        <v>4.28</v>
      </c>
      <c r="I54" s="58">
        <f t="shared" si="9"/>
        <v>2837.6400000000003</v>
      </c>
    </row>
    <row r="55" spans="1:11" x14ac:dyDescent="0.25">
      <c r="A55" s="31" t="s">
        <v>51</v>
      </c>
      <c r="B55" s="31"/>
      <c r="C55" s="31" t="s">
        <v>469</v>
      </c>
      <c r="D55" s="78">
        <v>663</v>
      </c>
      <c r="E55" s="65" t="s">
        <v>554</v>
      </c>
      <c r="F55" s="30">
        <v>3.8</v>
      </c>
      <c r="G55" s="58">
        <f t="shared" si="0"/>
        <v>2519.4</v>
      </c>
      <c r="H55" s="55">
        <v>1.72</v>
      </c>
      <c r="I55" s="58">
        <f t="shared" si="9"/>
        <v>1140.3599999999999</v>
      </c>
    </row>
    <row r="56" spans="1:11" x14ac:dyDescent="0.25">
      <c r="A56" s="31" t="s">
        <v>52</v>
      </c>
      <c r="B56" s="31"/>
      <c r="C56" s="31" t="s">
        <v>470</v>
      </c>
      <c r="D56" s="78">
        <v>663</v>
      </c>
      <c r="E56" s="65" t="s">
        <v>554</v>
      </c>
      <c r="F56" s="30">
        <v>4.2</v>
      </c>
      <c r="G56" s="58">
        <f t="shared" si="0"/>
        <v>2784.6</v>
      </c>
      <c r="H56" s="55">
        <v>4.62</v>
      </c>
      <c r="I56" s="58">
        <f t="shared" si="9"/>
        <v>3063.06</v>
      </c>
    </row>
    <row r="57" spans="1:11" x14ac:dyDescent="0.25">
      <c r="A57" s="31" t="s">
        <v>53</v>
      </c>
      <c r="B57" s="31"/>
      <c r="C57" s="31" t="s">
        <v>471</v>
      </c>
      <c r="D57" s="78">
        <v>343</v>
      </c>
      <c r="E57" s="65" t="s">
        <v>554</v>
      </c>
      <c r="F57" s="30">
        <v>24.8</v>
      </c>
      <c r="G57" s="58">
        <f t="shared" si="0"/>
        <v>8506.4</v>
      </c>
      <c r="H57" s="55">
        <v>18.87</v>
      </c>
      <c r="I57" s="58">
        <f t="shared" si="9"/>
        <v>6472.4100000000008</v>
      </c>
    </row>
    <row r="58" spans="1:11" x14ac:dyDescent="0.25">
      <c r="A58" s="31" t="s">
        <v>54</v>
      </c>
      <c r="B58" s="31"/>
      <c r="C58" s="31" t="s">
        <v>472</v>
      </c>
      <c r="D58" s="78">
        <v>411</v>
      </c>
      <c r="E58" s="65" t="s">
        <v>556</v>
      </c>
      <c r="F58" s="30">
        <v>14.8</v>
      </c>
      <c r="G58" s="58">
        <f t="shared" si="0"/>
        <v>6082.8</v>
      </c>
      <c r="H58" s="55">
        <v>17.690000000000001</v>
      </c>
      <c r="I58" s="58">
        <f t="shared" si="9"/>
        <v>7270.59</v>
      </c>
    </row>
    <row r="59" spans="1:11" x14ac:dyDescent="0.25">
      <c r="A59" s="32" t="s">
        <v>44</v>
      </c>
      <c r="B59" s="32"/>
      <c r="C59" s="32" t="s">
        <v>461</v>
      </c>
      <c r="D59" s="79"/>
      <c r="E59" s="66"/>
      <c r="F59" s="90"/>
      <c r="G59" s="91">
        <f>SUM(G48:G58)</f>
        <v>106263.3</v>
      </c>
      <c r="H59" s="90"/>
      <c r="I59" s="91">
        <f>SUM(I48:I58)</f>
        <v>84103.87</v>
      </c>
    </row>
    <row r="60" spans="1:11" x14ac:dyDescent="0.25">
      <c r="A60" s="31"/>
      <c r="B60" s="31"/>
      <c r="C60" s="31"/>
      <c r="D60" s="78"/>
      <c r="E60" s="65"/>
      <c r="F60" s="30"/>
      <c r="G60" s="56"/>
      <c r="H60" s="30"/>
      <c r="I60" s="56"/>
    </row>
    <row r="61" spans="1:11" s="36" customFormat="1" x14ac:dyDescent="0.25">
      <c r="A61" s="34"/>
      <c r="B61" s="34"/>
      <c r="C61" s="34" t="s">
        <v>474</v>
      </c>
      <c r="D61" s="80"/>
      <c r="E61" s="67"/>
      <c r="F61" s="35"/>
      <c r="G61" s="59"/>
      <c r="H61" s="35"/>
      <c r="I61" s="59"/>
      <c r="K61" s="110"/>
    </row>
    <row r="62" spans="1:11" x14ac:dyDescent="0.25">
      <c r="A62" s="31" t="s">
        <v>56</v>
      </c>
      <c r="B62" s="31"/>
      <c r="C62" s="31" t="s">
        <v>463</v>
      </c>
      <c r="D62" s="78">
        <v>626</v>
      </c>
      <c r="E62" s="65" t="s">
        <v>554</v>
      </c>
      <c r="F62" s="30">
        <v>2.7</v>
      </c>
      <c r="G62" s="56">
        <f t="shared" si="0"/>
        <v>1690.2</v>
      </c>
      <c r="H62" s="55">
        <v>2.6</v>
      </c>
      <c r="I62" s="56">
        <f t="shared" ref="I62:I63" si="10">$D62*H62</f>
        <v>1627.6000000000001</v>
      </c>
    </row>
    <row r="63" spans="1:11" x14ac:dyDescent="0.25">
      <c r="A63" s="31" t="s">
        <v>57</v>
      </c>
      <c r="B63" s="31"/>
      <c r="C63" s="31" t="s">
        <v>464</v>
      </c>
      <c r="D63" s="78">
        <v>626</v>
      </c>
      <c r="E63" s="65" t="s">
        <v>554</v>
      </c>
      <c r="F63" s="30">
        <v>49.9</v>
      </c>
      <c r="G63" s="56">
        <f t="shared" si="0"/>
        <v>31237.399999999998</v>
      </c>
      <c r="H63" s="110">
        <v>43.4</v>
      </c>
      <c r="I63" s="56">
        <f t="shared" si="10"/>
        <v>27168.399999999998</v>
      </c>
    </row>
    <row r="64" spans="1:11" x14ac:dyDescent="0.25">
      <c r="A64" s="37" t="s">
        <v>575</v>
      </c>
      <c r="B64" s="31"/>
      <c r="C64" s="31" t="s">
        <v>574</v>
      </c>
      <c r="D64" s="78">
        <v>626</v>
      </c>
      <c r="E64" s="65" t="s">
        <v>554</v>
      </c>
      <c r="F64" s="30">
        <v>31.8</v>
      </c>
      <c r="G64" s="58" t="s">
        <v>561</v>
      </c>
      <c r="H64" s="30"/>
      <c r="I64" s="58"/>
    </row>
    <row r="65" spans="1:11" x14ac:dyDescent="0.25">
      <c r="A65" s="31" t="s">
        <v>58</v>
      </c>
      <c r="B65" s="31"/>
      <c r="C65" s="31" t="s">
        <v>465</v>
      </c>
      <c r="D65" s="78">
        <v>626</v>
      </c>
      <c r="E65" s="65" t="s">
        <v>554</v>
      </c>
      <c r="F65" s="30">
        <v>6.3</v>
      </c>
      <c r="G65" s="56">
        <f t="shared" si="0"/>
        <v>3943.7999999999997</v>
      </c>
      <c r="H65" s="55">
        <v>5.31</v>
      </c>
      <c r="I65" s="56">
        <f t="shared" ref="I65:I70" si="11">$D65*H65</f>
        <v>3324.06</v>
      </c>
    </row>
    <row r="66" spans="1:11" x14ac:dyDescent="0.25">
      <c r="A66" s="31" t="s">
        <v>59</v>
      </c>
      <c r="B66" s="31"/>
      <c r="C66" s="31" t="s">
        <v>475</v>
      </c>
      <c r="D66" s="78">
        <v>626</v>
      </c>
      <c r="E66" s="65" t="s">
        <v>554</v>
      </c>
      <c r="F66" s="30">
        <v>19.899999999999999</v>
      </c>
      <c r="G66" s="56">
        <f t="shared" si="0"/>
        <v>12457.4</v>
      </c>
      <c r="H66" s="55">
        <v>11.01</v>
      </c>
      <c r="I66" s="56">
        <f t="shared" si="11"/>
        <v>6892.26</v>
      </c>
    </row>
    <row r="67" spans="1:11" x14ac:dyDescent="0.25">
      <c r="A67" s="31" t="s">
        <v>60</v>
      </c>
      <c r="B67" s="31"/>
      <c r="C67" s="31" t="s">
        <v>476</v>
      </c>
      <c r="D67" s="78">
        <v>626</v>
      </c>
      <c r="E67" s="65" t="s">
        <v>554</v>
      </c>
      <c r="F67" s="30">
        <v>128.80000000000001</v>
      </c>
      <c r="G67" s="56">
        <f t="shared" si="0"/>
        <v>80628.800000000003</v>
      </c>
      <c r="H67" s="55">
        <v>88.47</v>
      </c>
      <c r="I67" s="56">
        <f t="shared" si="11"/>
        <v>55382.22</v>
      </c>
    </row>
    <row r="68" spans="1:11" x14ac:dyDescent="0.25">
      <c r="A68" s="31" t="s">
        <v>61</v>
      </c>
      <c r="B68" s="31"/>
      <c r="C68" s="31" t="s">
        <v>477</v>
      </c>
      <c r="D68" s="78">
        <v>267</v>
      </c>
      <c r="E68" s="65" t="s">
        <v>556</v>
      </c>
      <c r="F68" s="30">
        <v>6.8</v>
      </c>
      <c r="G68" s="56">
        <f t="shared" si="0"/>
        <v>1815.6</v>
      </c>
      <c r="H68" s="55">
        <v>21.77</v>
      </c>
      <c r="I68" s="56">
        <f t="shared" si="11"/>
        <v>5812.59</v>
      </c>
    </row>
    <row r="69" spans="1:11" x14ac:dyDescent="0.25">
      <c r="A69" s="31" t="s">
        <v>62</v>
      </c>
      <c r="B69" s="31"/>
      <c r="C69" s="31" t="s">
        <v>478</v>
      </c>
      <c r="D69" s="78">
        <v>0</v>
      </c>
      <c r="E69" s="65" t="s">
        <v>556</v>
      </c>
      <c r="F69" s="30">
        <v>85</v>
      </c>
      <c r="G69" s="56">
        <f t="shared" si="0"/>
        <v>0</v>
      </c>
      <c r="H69" s="55">
        <v>59.47</v>
      </c>
      <c r="I69" s="56">
        <f t="shared" si="11"/>
        <v>0</v>
      </c>
    </row>
    <row r="70" spans="1:11" x14ac:dyDescent="0.25">
      <c r="A70" s="31" t="s">
        <v>63</v>
      </c>
      <c r="B70" s="31"/>
      <c r="C70" s="31" t="s">
        <v>479</v>
      </c>
      <c r="D70" s="78">
        <v>0</v>
      </c>
      <c r="E70" s="65" t="s">
        <v>556</v>
      </c>
      <c r="F70" s="30">
        <v>129</v>
      </c>
      <c r="G70" s="56">
        <f t="shared" si="0"/>
        <v>0</v>
      </c>
      <c r="H70" s="55">
        <v>132.71</v>
      </c>
      <c r="I70" s="56">
        <f t="shared" si="11"/>
        <v>0</v>
      </c>
    </row>
    <row r="71" spans="1:11" x14ac:dyDescent="0.25">
      <c r="A71" s="32" t="s">
        <v>55</v>
      </c>
      <c r="B71" s="32"/>
      <c r="C71" s="32" t="s">
        <v>473</v>
      </c>
      <c r="D71" s="79"/>
      <c r="E71" s="66"/>
      <c r="F71" s="33"/>
      <c r="G71" s="57">
        <f>SUM(G62:G70)</f>
        <v>131773.20000000001</v>
      </c>
      <c r="H71" s="33"/>
      <c r="I71" s="57">
        <f>SUM(I62:I70)</f>
        <v>100207.13</v>
      </c>
    </row>
    <row r="72" spans="1:11" x14ac:dyDescent="0.25">
      <c r="A72" s="31"/>
      <c r="B72" s="31"/>
      <c r="C72" s="31"/>
      <c r="D72" s="78"/>
      <c r="E72" s="65"/>
      <c r="F72" s="30"/>
      <c r="G72" s="56"/>
      <c r="H72" s="30"/>
      <c r="I72" s="56"/>
    </row>
    <row r="73" spans="1:11" s="36" customFormat="1" x14ac:dyDescent="0.25">
      <c r="A73" s="34"/>
      <c r="B73" s="34"/>
      <c r="C73" s="34" t="s">
        <v>481</v>
      </c>
      <c r="D73" s="80"/>
      <c r="E73" s="67"/>
      <c r="F73" s="35"/>
      <c r="G73" s="59"/>
      <c r="H73" s="35"/>
      <c r="I73" s="59"/>
      <c r="K73" s="110"/>
    </row>
    <row r="74" spans="1:11" x14ac:dyDescent="0.25">
      <c r="A74" s="31" t="s">
        <v>65</v>
      </c>
      <c r="B74" s="31"/>
      <c r="C74" s="31" t="s">
        <v>446</v>
      </c>
      <c r="D74" s="78">
        <v>31</v>
      </c>
      <c r="E74" s="65" t="s">
        <v>554</v>
      </c>
      <c r="F74" s="30">
        <v>2.2000000000000002</v>
      </c>
      <c r="G74" s="56">
        <f t="shared" si="0"/>
        <v>68.2</v>
      </c>
      <c r="H74" s="55">
        <v>0.98</v>
      </c>
      <c r="I74" s="56">
        <f t="shared" ref="I74:I83" si="12">$D74*H74</f>
        <v>30.38</v>
      </c>
    </row>
    <row r="75" spans="1:11" x14ac:dyDescent="0.25">
      <c r="A75" s="31" t="s">
        <v>66</v>
      </c>
      <c r="B75" s="31"/>
      <c r="C75" s="31" t="s">
        <v>447</v>
      </c>
      <c r="D75" s="78">
        <v>31</v>
      </c>
      <c r="E75" s="65" t="s">
        <v>554</v>
      </c>
      <c r="F75" s="30">
        <v>4.4000000000000004</v>
      </c>
      <c r="G75" s="56">
        <f t="shared" si="0"/>
        <v>136.4</v>
      </c>
      <c r="H75" s="55">
        <v>3.15</v>
      </c>
      <c r="I75" s="56">
        <f t="shared" si="12"/>
        <v>97.649999999999991</v>
      </c>
    </row>
    <row r="76" spans="1:11" x14ac:dyDescent="0.25">
      <c r="A76" s="31" t="s">
        <v>67</v>
      </c>
      <c r="B76" s="31"/>
      <c r="C76" s="31" t="s">
        <v>482</v>
      </c>
      <c r="D76" s="78">
        <v>23</v>
      </c>
      <c r="E76" s="65" t="s">
        <v>556</v>
      </c>
      <c r="F76" s="30">
        <v>2.8</v>
      </c>
      <c r="G76" s="56">
        <f t="shared" si="0"/>
        <v>64.399999999999991</v>
      </c>
      <c r="H76" s="110">
        <v>2.36</v>
      </c>
      <c r="I76" s="56">
        <f t="shared" si="12"/>
        <v>54.279999999999994</v>
      </c>
    </row>
    <row r="77" spans="1:11" x14ac:dyDescent="0.25">
      <c r="A77" s="31" t="s">
        <v>68</v>
      </c>
      <c r="B77" s="31"/>
      <c r="C77" s="31" t="s">
        <v>483</v>
      </c>
      <c r="D77" s="78">
        <v>31</v>
      </c>
      <c r="E77" s="65" t="s">
        <v>554</v>
      </c>
      <c r="F77" s="30">
        <v>16.899999999999999</v>
      </c>
      <c r="G77" s="56">
        <f t="shared" si="0"/>
        <v>523.9</v>
      </c>
      <c r="H77" s="55">
        <v>10.220000000000001</v>
      </c>
      <c r="I77" s="56">
        <f t="shared" si="12"/>
        <v>316.82</v>
      </c>
    </row>
    <row r="78" spans="1:11" x14ac:dyDescent="0.25">
      <c r="A78" s="31" t="s">
        <v>69</v>
      </c>
      <c r="B78" s="31"/>
      <c r="C78" s="31" t="s">
        <v>484</v>
      </c>
      <c r="D78" s="78">
        <v>23</v>
      </c>
      <c r="E78" s="65" t="s">
        <v>556</v>
      </c>
      <c r="F78" s="30">
        <v>15.1</v>
      </c>
      <c r="G78" s="56">
        <f t="shared" si="0"/>
        <v>347.3</v>
      </c>
      <c r="H78" s="55">
        <v>7.67</v>
      </c>
      <c r="I78" s="56">
        <f t="shared" si="12"/>
        <v>176.41</v>
      </c>
    </row>
    <row r="79" spans="1:11" x14ac:dyDescent="0.25">
      <c r="A79" s="31" t="s">
        <v>70</v>
      </c>
      <c r="B79" s="31"/>
      <c r="C79" s="31" t="s">
        <v>452</v>
      </c>
      <c r="D79" s="78">
        <v>23</v>
      </c>
      <c r="E79" s="65" t="s">
        <v>556</v>
      </c>
      <c r="F79" s="30">
        <v>3.2</v>
      </c>
      <c r="G79" s="56">
        <f t="shared" si="0"/>
        <v>73.600000000000009</v>
      </c>
      <c r="H79" s="55">
        <v>3.78</v>
      </c>
      <c r="I79" s="56">
        <f t="shared" si="12"/>
        <v>86.94</v>
      </c>
    </row>
    <row r="80" spans="1:11" x14ac:dyDescent="0.25">
      <c r="A80" s="31" t="s">
        <v>71</v>
      </c>
      <c r="B80" s="31"/>
      <c r="C80" s="31" t="s">
        <v>485</v>
      </c>
      <c r="D80" s="78">
        <v>31</v>
      </c>
      <c r="E80" s="65" t="s">
        <v>554</v>
      </c>
      <c r="F80" s="30">
        <v>49.9</v>
      </c>
      <c r="G80" s="56">
        <f t="shared" si="0"/>
        <v>1546.8999999999999</v>
      </c>
      <c r="H80" s="55">
        <v>31.46</v>
      </c>
      <c r="I80" s="56">
        <f t="shared" si="12"/>
        <v>975.26</v>
      </c>
    </row>
    <row r="81" spans="1:9" x14ac:dyDescent="0.25">
      <c r="A81" s="31" t="s">
        <v>72</v>
      </c>
      <c r="B81" s="31"/>
      <c r="C81" s="31" t="s">
        <v>486</v>
      </c>
      <c r="D81" s="78">
        <v>31</v>
      </c>
      <c r="E81" s="65" t="s">
        <v>554</v>
      </c>
      <c r="F81" s="30">
        <v>18.8</v>
      </c>
      <c r="G81" s="56">
        <f t="shared" ref="G81:G148" si="13">$D81*F81</f>
        <v>582.80000000000007</v>
      </c>
      <c r="H81" s="55">
        <v>12.58</v>
      </c>
      <c r="I81" s="56">
        <f t="shared" si="12"/>
        <v>389.98</v>
      </c>
    </row>
    <row r="82" spans="1:9" x14ac:dyDescent="0.25">
      <c r="A82" s="31" t="s">
        <v>73</v>
      </c>
      <c r="B82" s="31"/>
      <c r="C82" s="31" t="s">
        <v>450</v>
      </c>
      <c r="D82" s="78">
        <v>31</v>
      </c>
      <c r="E82" s="65" t="s">
        <v>554</v>
      </c>
      <c r="F82" s="30">
        <v>22.8</v>
      </c>
      <c r="G82" s="56">
        <f t="shared" si="13"/>
        <v>706.80000000000007</v>
      </c>
      <c r="H82" s="55">
        <v>17.2</v>
      </c>
      <c r="I82" s="56">
        <f t="shared" si="12"/>
        <v>533.19999999999993</v>
      </c>
    </row>
    <row r="83" spans="1:9" x14ac:dyDescent="0.25">
      <c r="A83" s="31" t="s">
        <v>74</v>
      </c>
      <c r="B83" s="31"/>
      <c r="C83" s="31" t="s">
        <v>487</v>
      </c>
      <c r="D83" s="78">
        <v>23</v>
      </c>
      <c r="E83" s="65" t="s">
        <v>556</v>
      </c>
      <c r="F83" s="30">
        <v>65</v>
      </c>
      <c r="G83" s="56">
        <f t="shared" si="13"/>
        <v>1495</v>
      </c>
      <c r="H83" s="55">
        <v>13.4</v>
      </c>
      <c r="I83" s="56">
        <f t="shared" si="12"/>
        <v>308.2</v>
      </c>
    </row>
    <row r="84" spans="1:9" x14ac:dyDescent="0.25">
      <c r="A84" s="37" t="s">
        <v>576</v>
      </c>
      <c r="B84" s="31"/>
      <c r="C84" s="31" t="s">
        <v>567</v>
      </c>
      <c r="D84" s="78">
        <v>23</v>
      </c>
      <c r="E84" s="65" t="s">
        <v>556</v>
      </c>
      <c r="F84" s="30">
        <v>99</v>
      </c>
      <c r="G84" s="58" t="s">
        <v>561</v>
      </c>
      <c r="I84" s="58"/>
    </row>
    <row r="85" spans="1:9" x14ac:dyDescent="0.25">
      <c r="A85" s="31" t="s">
        <v>75</v>
      </c>
      <c r="B85" s="31" t="s">
        <v>432</v>
      </c>
      <c r="C85" s="31" t="s">
        <v>463</v>
      </c>
      <c r="D85" s="78">
        <v>31</v>
      </c>
      <c r="E85" s="65" t="s">
        <v>554</v>
      </c>
      <c r="F85" s="30">
        <v>3.7</v>
      </c>
      <c r="G85" s="58" t="s">
        <v>561</v>
      </c>
      <c r="H85" s="30">
        <v>2.6</v>
      </c>
      <c r="I85" s="58" t="s">
        <v>561</v>
      </c>
    </row>
    <row r="86" spans="1:9" x14ac:dyDescent="0.25">
      <c r="A86" s="31" t="s">
        <v>76</v>
      </c>
      <c r="B86" s="31" t="s">
        <v>432</v>
      </c>
      <c r="C86" s="31" t="s">
        <v>466</v>
      </c>
      <c r="D86" s="78">
        <v>17</v>
      </c>
      <c r="E86" s="65" t="s">
        <v>554</v>
      </c>
      <c r="F86" s="30">
        <v>16.8</v>
      </c>
      <c r="G86" s="58" t="s">
        <v>561</v>
      </c>
      <c r="H86" s="55">
        <v>8.6999999999999993</v>
      </c>
      <c r="I86" s="58" t="s">
        <v>561</v>
      </c>
    </row>
    <row r="87" spans="1:9" x14ac:dyDescent="0.25">
      <c r="A87" s="31" t="s">
        <v>77</v>
      </c>
      <c r="B87" s="31" t="s">
        <v>432</v>
      </c>
      <c r="C87" s="31" t="s">
        <v>467</v>
      </c>
      <c r="D87" s="78">
        <v>17</v>
      </c>
      <c r="E87" s="65" t="s">
        <v>554</v>
      </c>
      <c r="F87" s="30">
        <v>18.2</v>
      </c>
      <c r="G87" s="58" t="s">
        <v>561</v>
      </c>
      <c r="H87" s="55">
        <v>8.9499999999999993</v>
      </c>
      <c r="I87" s="58" t="s">
        <v>561</v>
      </c>
    </row>
    <row r="88" spans="1:9" x14ac:dyDescent="0.25">
      <c r="A88" s="31" t="s">
        <v>78</v>
      </c>
      <c r="B88" s="31" t="s">
        <v>432</v>
      </c>
      <c r="C88" s="31" t="s">
        <v>468</v>
      </c>
      <c r="D88" s="78">
        <v>17</v>
      </c>
      <c r="E88" s="65" t="s">
        <v>554</v>
      </c>
      <c r="F88" s="30">
        <v>10.9</v>
      </c>
      <c r="G88" s="58" t="s">
        <v>561</v>
      </c>
      <c r="H88" s="55">
        <v>4.28</v>
      </c>
      <c r="I88" s="58" t="s">
        <v>561</v>
      </c>
    </row>
    <row r="89" spans="1:9" x14ac:dyDescent="0.25">
      <c r="A89" s="31" t="s">
        <v>79</v>
      </c>
      <c r="B89" s="31" t="s">
        <v>432</v>
      </c>
      <c r="C89" s="31" t="s">
        <v>469</v>
      </c>
      <c r="D89" s="78">
        <v>17</v>
      </c>
      <c r="E89" s="65" t="s">
        <v>554</v>
      </c>
      <c r="F89" s="30">
        <v>4.8</v>
      </c>
      <c r="G89" s="58" t="s">
        <v>561</v>
      </c>
      <c r="H89" s="55">
        <v>1.72</v>
      </c>
      <c r="I89" s="58" t="s">
        <v>561</v>
      </c>
    </row>
    <row r="90" spans="1:9" x14ac:dyDescent="0.25">
      <c r="A90" s="31" t="s">
        <v>80</v>
      </c>
      <c r="B90" s="31" t="s">
        <v>432</v>
      </c>
      <c r="C90" s="31" t="s">
        <v>470</v>
      </c>
      <c r="D90" s="78">
        <v>17</v>
      </c>
      <c r="E90" s="65" t="s">
        <v>554</v>
      </c>
      <c r="F90" s="30">
        <v>3.8</v>
      </c>
      <c r="G90" s="58" t="s">
        <v>561</v>
      </c>
      <c r="H90" s="55">
        <v>4.62</v>
      </c>
      <c r="I90" s="58" t="s">
        <v>561</v>
      </c>
    </row>
    <row r="91" spans="1:9" x14ac:dyDescent="0.25">
      <c r="A91" s="31" t="s">
        <v>81</v>
      </c>
      <c r="B91" s="31"/>
      <c r="C91" s="31" t="s">
        <v>488</v>
      </c>
      <c r="D91" s="78">
        <v>31</v>
      </c>
      <c r="E91" s="65" t="s">
        <v>554</v>
      </c>
      <c r="F91" s="30">
        <v>24.8</v>
      </c>
      <c r="G91" s="56">
        <f t="shared" si="13"/>
        <v>768.80000000000007</v>
      </c>
      <c r="H91" s="55">
        <v>15.73</v>
      </c>
      <c r="I91" s="56">
        <f t="shared" ref="I91" si="14">$D91*H91</f>
        <v>487.63</v>
      </c>
    </row>
    <row r="92" spans="1:9" x14ac:dyDescent="0.25">
      <c r="A92" s="31" t="s">
        <v>82</v>
      </c>
      <c r="B92" s="31" t="s">
        <v>432</v>
      </c>
      <c r="C92" s="31" t="s">
        <v>472</v>
      </c>
      <c r="D92" s="78">
        <v>23</v>
      </c>
      <c r="E92" s="65" t="s">
        <v>556</v>
      </c>
      <c r="F92" s="30">
        <v>14.8</v>
      </c>
      <c r="G92" s="58" t="s">
        <v>561</v>
      </c>
      <c r="H92" s="55">
        <v>17.690000000000001</v>
      </c>
      <c r="I92" s="58" t="s">
        <v>561</v>
      </c>
    </row>
    <row r="93" spans="1:9" x14ac:dyDescent="0.25">
      <c r="A93" s="31" t="s">
        <v>83</v>
      </c>
      <c r="B93" s="31"/>
      <c r="C93" s="31" t="s">
        <v>454</v>
      </c>
      <c r="D93" s="78">
        <v>1</v>
      </c>
      <c r="E93" s="65" t="s">
        <v>553</v>
      </c>
      <c r="F93" s="30">
        <v>580</v>
      </c>
      <c r="G93" s="56">
        <f t="shared" si="13"/>
        <v>580</v>
      </c>
      <c r="H93" s="55">
        <v>491.5</v>
      </c>
      <c r="I93" s="56">
        <f t="shared" ref="I93:I97" si="15">$D93*H93</f>
        <v>491.5</v>
      </c>
    </row>
    <row r="94" spans="1:9" x14ac:dyDescent="0.25">
      <c r="A94" s="31" t="s">
        <v>84</v>
      </c>
      <c r="B94" s="31"/>
      <c r="C94" s="31" t="s">
        <v>455</v>
      </c>
      <c r="D94" s="78">
        <v>1</v>
      </c>
      <c r="E94" s="65" t="s">
        <v>553</v>
      </c>
      <c r="F94" s="30">
        <v>580</v>
      </c>
      <c r="G94" s="56">
        <f t="shared" si="13"/>
        <v>580</v>
      </c>
      <c r="H94" s="55">
        <v>442.35</v>
      </c>
      <c r="I94" s="56">
        <f t="shared" si="15"/>
        <v>442.35</v>
      </c>
    </row>
    <row r="95" spans="1:9" x14ac:dyDescent="0.25">
      <c r="A95" s="31" t="s">
        <v>85</v>
      </c>
      <c r="B95" s="31"/>
      <c r="C95" s="31" t="s">
        <v>456</v>
      </c>
      <c r="D95" s="78">
        <v>2</v>
      </c>
      <c r="E95" s="65" t="s">
        <v>553</v>
      </c>
      <c r="F95" s="30">
        <v>320</v>
      </c>
      <c r="G95" s="56">
        <f t="shared" si="13"/>
        <v>640</v>
      </c>
      <c r="H95" s="55">
        <v>98.3</v>
      </c>
      <c r="I95" s="56">
        <f t="shared" si="15"/>
        <v>196.6</v>
      </c>
    </row>
    <row r="96" spans="1:9" x14ac:dyDescent="0.25">
      <c r="A96" s="31" t="s">
        <v>86</v>
      </c>
      <c r="B96" s="31"/>
      <c r="C96" s="31" t="s">
        <v>457</v>
      </c>
      <c r="D96" s="78">
        <v>2</v>
      </c>
      <c r="E96" s="65" t="s">
        <v>553</v>
      </c>
      <c r="F96" s="30">
        <v>280</v>
      </c>
      <c r="G96" s="56">
        <f t="shared" si="13"/>
        <v>560</v>
      </c>
      <c r="H96" s="55">
        <v>73.73</v>
      </c>
      <c r="I96" s="56">
        <f t="shared" si="15"/>
        <v>147.46</v>
      </c>
    </row>
    <row r="97" spans="1:9" x14ac:dyDescent="0.25">
      <c r="A97" s="31" t="s">
        <v>87</v>
      </c>
      <c r="B97" s="31"/>
      <c r="C97" s="31" t="s">
        <v>458</v>
      </c>
      <c r="D97" s="78">
        <v>6</v>
      </c>
      <c r="E97" s="65" t="s">
        <v>556</v>
      </c>
      <c r="F97" s="30">
        <v>75</v>
      </c>
      <c r="G97" s="56">
        <f t="shared" si="13"/>
        <v>450</v>
      </c>
      <c r="H97" s="55">
        <v>78.64</v>
      </c>
      <c r="I97" s="56">
        <f t="shared" si="15"/>
        <v>471.84000000000003</v>
      </c>
    </row>
    <row r="98" spans="1:9" x14ac:dyDescent="0.25">
      <c r="A98" s="31" t="s">
        <v>88</v>
      </c>
      <c r="B98" s="31"/>
      <c r="C98" s="31" t="s">
        <v>459</v>
      </c>
      <c r="D98" s="78">
        <v>31</v>
      </c>
      <c r="E98" s="65" t="s">
        <v>554</v>
      </c>
      <c r="F98" s="30"/>
      <c r="G98" s="56"/>
      <c r="H98" s="55">
        <v>2.95</v>
      </c>
      <c r="I98" s="56">
        <f t="shared" ref="I98:I99" si="16">$D98*H98</f>
        <v>91.45</v>
      </c>
    </row>
    <row r="99" spans="1:9" x14ac:dyDescent="0.25">
      <c r="A99" s="37" t="s">
        <v>579</v>
      </c>
      <c r="B99" s="31"/>
      <c r="C99" s="31" t="s">
        <v>580</v>
      </c>
      <c r="D99" s="78">
        <v>1</v>
      </c>
      <c r="E99" s="65" t="s">
        <v>572</v>
      </c>
      <c r="F99" s="30">
        <v>150</v>
      </c>
      <c r="G99" s="56">
        <f t="shared" si="13"/>
        <v>150</v>
      </c>
      <c r="H99" s="30"/>
      <c r="I99" s="56"/>
    </row>
    <row r="100" spans="1:9" x14ac:dyDescent="0.25">
      <c r="A100" s="32" t="s">
        <v>64</v>
      </c>
      <c r="B100" s="32"/>
      <c r="C100" s="32" t="s">
        <v>480</v>
      </c>
      <c r="D100" s="79"/>
      <c r="E100" s="66"/>
      <c r="F100" s="33"/>
      <c r="G100" s="57">
        <f>SUM(G74:G99)</f>
        <v>9274.1</v>
      </c>
      <c r="H100" s="33"/>
      <c r="I100" s="57">
        <f>SUM(I74:I99)</f>
        <v>5297.9500000000007</v>
      </c>
    </row>
    <row r="101" spans="1:9" x14ac:dyDescent="0.25">
      <c r="A101" s="31"/>
      <c r="B101" s="31"/>
      <c r="C101" s="31"/>
      <c r="D101" s="78"/>
      <c r="E101" s="65"/>
      <c r="F101" s="30"/>
      <c r="G101" s="56"/>
      <c r="H101" s="30"/>
      <c r="I101" s="56"/>
    </row>
    <row r="102" spans="1:9" x14ac:dyDescent="0.25">
      <c r="A102" s="38"/>
      <c r="B102" s="38"/>
      <c r="C102" s="38" t="s">
        <v>490</v>
      </c>
      <c r="D102" s="81"/>
      <c r="E102" s="68"/>
      <c r="F102" s="39"/>
      <c r="G102" s="60"/>
      <c r="H102" s="39"/>
      <c r="I102" s="60"/>
    </row>
    <row r="103" spans="1:9" x14ac:dyDescent="0.25">
      <c r="A103" s="31" t="s">
        <v>90</v>
      </c>
      <c r="B103" s="31"/>
      <c r="C103" s="31" t="s">
        <v>446</v>
      </c>
      <c r="D103" s="78">
        <v>273</v>
      </c>
      <c r="E103" s="65" t="s">
        <v>554</v>
      </c>
      <c r="F103" s="30">
        <v>1.2</v>
      </c>
      <c r="G103" s="56">
        <f t="shared" si="13"/>
        <v>327.59999999999997</v>
      </c>
      <c r="H103" s="55">
        <v>0.98</v>
      </c>
      <c r="I103" s="56">
        <f t="shared" ref="I103:I119" si="17">$D103*H103</f>
        <v>267.54000000000002</v>
      </c>
    </row>
    <row r="104" spans="1:9" x14ac:dyDescent="0.25">
      <c r="A104" s="31" t="s">
        <v>91</v>
      </c>
      <c r="B104" s="31"/>
      <c r="C104" s="31" t="s">
        <v>447</v>
      </c>
      <c r="D104" s="78">
        <v>273</v>
      </c>
      <c r="E104" s="65" t="s">
        <v>554</v>
      </c>
      <c r="F104" s="30">
        <v>2.9</v>
      </c>
      <c r="G104" s="56">
        <f t="shared" si="13"/>
        <v>791.69999999999993</v>
      </c>
      <c r="H104" s="55">
        <v>3.15</v>
      </c>
      <c r="I104" s="56">
        <f t="shared" si="17"/>
        <v>859.94999999999993</v>
      </c>
    </row>
    <row r="105" spans="1:9" x14ac:dyDescent="0.25">
      <c r="A105" s="31" t="s">
        <v>92</v>
      </c>
      <c r="B105" s="31"/>
      <c r="C105" s="31" t="s">
        <v>482</v>
      </c>
      <c r="D105" s="78">
        <v>110</v>
      </c>
      <c r="E105" s="65" t="s">
        <v>556</v>
      </c>
      <c r="F105" s="30">
        <v>2.4</v>
      </c>
      <c r="G105" s="56">
        <f t="shared" si="13"/>
        <v>264</v>
      </c>
      <c r="H105" s="55">
        <v>2.36</v>
      </c>
      <c r="I105" s="56">
        <f t="shared" si="17"/>
        <v>259.59999999999997</v>
      </c>
    </row>
    <row r="106" spans="1:9" x14ac:dyDescent="0.25">
      <c r="A106" s="31" t="s">
        <v>93</v>
      </c>
      <c r="B106" s="31"/>
      <c r="C106" s="31" t="s">
        <v>483</v>
      </c>
      <c r="D106" s="78">
        <v>273</v>
      </c>
      <c r="E106" s="65" t="s">
        <v>554</v>
      </c>
      <c r="F106" s="30">
        <v>16.2</v>
      </c>
      <c r="G106" s="56">
        <f t="shared" si="13"/>
        <v>4422.5999999999995</v>
      </c>
      <c r="H106" s="55">
        <v>10.220000000000001</v>
      </c>
      <c r="I106" s="56">
        <f t="shared" si="17"/>
        <v>2790.0600000000004</v>
      </c>
    </row>
    <row r="107" spans="1:9" x14ac:dyDescent="0.25">
      <c r="A107" s="31" t="s">
        <v>94</v>
      </c>
      <c r="B107" s="31"/>
      <c r="C107" s="31" t="s">
        <v>484</v>
      </c>
      <c r="D107" s="78">
        <v>110</v>
      </c>
      <c r="E107" s="65" t="s">
        <v>556</v>
      </c>
      <c r="F107" s="30">
        <v>15.1</v>
      </c>
      <c r="G107" s="56">
        <f t="shared" si="13"/>
        <v>1661</v>
      </c>
      <c r="H107" s="55">
        <v>7.67</v>
      </c>
      <c r="I107" s="56">
        <f t="shared" si="17"/>
        <v>843.7</v>
      </c>
    </row>
    <row r="108" spans="1:9" x14ac:dyDescent="0.25">
      <c r="A108" s="31" t="s">
        <v>95</v>
      </c>
      <c r="B108" s="31"/>
      <c r="C108" s="31" t="s">
        <v>452</v>
      </c>
      <c r="D108" s="78">
        <v>110</v>
      </c>
      <c r="E108" s="65" t="s">
        <v>556</v>
      </c>
      <c r="F108" s="30">
        <v>3.2</v>
      </c>
      <c r="G108" s="56">
        <f t="shared" si="13"/>
        <v>352</v>
      </c>
      <c r="H108" s="55">
        <v>3.78</v>
      </c>
      <c r="I108" s="56">
        <f t="shared" si="17"/>
        <v>415.79999999999995</v>
      </c>
    </row>
    <row r="109" spans="1:9" x14ac:dyDescent="0.25">
      <c r="A109" s="31" t="s">
        <v>96</v>
      </c>
      <c r="B109" s="31"/>
      <c r="C109" s="31" t="s">
        <v>491</v>
      </c>
      <c r="D109" s="78">
        <v>233</v>
      </c>
      <c r="E109" s="65" t="s">
        <v>554</v>
      </c>
      <c r="F109" s="30">
        <v>42.8</v>
      </c>
      <c r="G109" s="56">
        <f t="shared" si="13"/>
        <v>9972.4</v>
      </c>
      <c r="H109" s="55">
        <v>33.909999999999997</v>
      </c>
      <c r="I109" s="56">
        <f t="shared" si="17"/>
        <v>7901.0299999999988</v>
      </c>
    </row>
    <row r="110" spans="1:9" x14ac:dyDescent="0.25">
      <c r="A110" s="31" t="s">
        <v>97</v>
      </c>
      <c r="B110" s="31"/>
      <c r="C110" s="31" t="s">
        <v>492</v>
      </c>
      <c r="D110" s="78">
        <v>40</v>
      </c>
      <c r="E110" s="65" t="s">
        <v>554</v>
      </c>
      <c r="F110" s="30">
        <v>49.9</v>
      </c>
      <c r="G110" s="56">
        <f t="shared" si="13"/>
        <v>1996</v>
      </c>
      <c r="H110" s="55">
        <v>27.31</v>
      </c>
      <c r="I110" s="56">
        <f t="shared" si="17"/>
        <v>1092.3999999999999</v>
      </c>
    </row>
    <row r="111" spans="1:9" x14ac:dyDescent="0.25">
      <c r="A111" s="31" t="s">
        <v>98</v>
      </c>
      <c r="B111" s="31"/>
      <c r="C111" s="31" t="s">
        <v>493</v>
      </c>
      <c r="D111" s="78">
        <v>110</v>
      </c>
      <c r="E111" s="65" t="s">
        <v>556</v>
      </c>
      <c r="F111" s="30">
        <v>19.899999999999999</v>
      </c>
      <c r="G111" s="56">
        <f t="shared" si="13"/>
        <v>2189</v>
      </c>
      <c r="H111" s="55">
        <v>29.34</v>
      </c>
      <c r="I111" s="56">
        <f t="shared" si="17"/>
        <v>3227.4</v>
      </c>
    </row>
    <row r="112" spans="1:9" x14ac:dyDescent="0.25">
      <c r="A112" s="31" t="s">
        <v>99</v>
      </c>
      <c r="B112" s="31"/>
      <c r="C112" s="31" t="s">
        <v>494</v>
      </c>
      <c r="D112" s="78">
        <v>273</v>
      </c>
      <c r="E112" s="65" t="s">
        <v>554</v>
      </c>
      <c r="F112" s="30">
        <v>16.2</v>
      </c>
      <c r="G112" s="56">
        <f t="shared" si="13"/>
        <v>4422.5999999999995</v>
      </c>
      <c r="H112" s="55">
        <v>12.58</v>
      </c>
      <c r="I112" s="56">
        <f t="shared" si="17"/>
        <v>3434.34</v>
      </c>
    </row>
    <row r="113" spans="1:9" x14ac:dyDescent="0.25">
      <c r="A113" s="31" t="s">
        <v>100</v>
      </c>
      <c r="B113" s="31"/>
      <c r="C113" s="31" t="s">
        <v>495</v>
      </c>
      <c r="D113" s="78">
        <v>110</v>
      </c>
      <c r="E113" s="65" t="s">
        <v>556</v>
      </c>
      <c r="F113" s="30">
        <v>29.9</v>
      </c>
      <c r="G113" s="56">
        <f t="shared" si="13"/>
        <v>3289</v>
      </c>
      <c r="H113" s="55">
        <v>5.66</v>
      </c>
      <c r="I113" s="56">
        <f t="shared" si="17"/>
        <v>622.6</v>
      </c>
    </row>
    <row r="114" spans="1:9" x14ac:dyDescent="0.25">
      <c r="A114" s="31" t="s">
        <v>101</v>
      </c>
      <c r="B114" s="31"/>
      <c r="C114" s="31" t="s">
        <v>496</v>
      </c>
      <c r="D114" s="78">
        <v>273</v>
      </c>
      <c r="E114" s="65" t="s">
        <v>554</v>
      </c>
      <c r="F114" s="30">
        <v>19.899999999999999</v>
      </c>
      <c r="G114" s="56">
        <f t="shared" si="13"/>
        <v>5432.7</v>
      </c>
      <c r="H114" s="55">
        <v>16.12</v>
      </c>
      <c r="I114" s="56">
        <f t="shared" si="17"/>
        <v>4400.76</v>
      </c>
    </row>
    <row r="115" spans="1:9" x14ac:dyDescent="0.25">
      <c r="A115" s="31" t="s">
        <v>102</v>
      </c>
      <c r="B115" s="31"/>
      <c r="C115" s="31" t="s">
        <v>497</v>
      </c>
      <c r="D115" s="78">
        <v>110</v>
      </c>
      <c r="E115" s="65" t="s">
        <v>556</v>
      </c>
      <c r="F115" s="30">
        <v>35.4</v>
      </c>
      <c r="G115" s="56">
        <f t="shared" si="13"/>
        <v>3894</v>
      </c>
      <c r="H115" s="55">
        <v>7.25</v>
      </c>
      <c r="I115" s="56">
        <f t="shared" si="17"/>
        <v>797.5</v>
      </c>
    </row>
    <row r="116" spans="1:9" x14ac:dyDescent="0.25">
      <c r="A116" s="31" t="s">
        <v>103</v>
      </c>
      <c r="B116" s="31"/>
      <c r="C116" s="31" t="s">
        <v>498</v>
      </c>
      <c r="D116" s="78">
        <v>273</v>
      </c>
      <c r="E116" s="65" t="s">
        <v>554</v>
      </c>
      <c r="F116" s="30">
        <v>26.8</v>
      </c>
      <c r="G116" s="56">
        <f t="shared" si="13"/>
        <v>7316.4000000000005</v>
      </c>
      <c r="H116" s="55">
        <v>17.2</v>
      </c>
      <c r="I116" s="56">
        <f t="shared" si="17"/>
        <v>4695.5999999999995</v>
      </c>
    </row>
    <row r="117" spans="1:9" x14ac:dyDescent="0.25">
      <c r="A117" s="31" t="s">
        <v>104</v>
      </c>
      <c r="B117" s="31"/>
      <c r="C117" s="31" t="s">
        <v>499</v>
      </c>
      <c r="D117" s="78">
        <v>273</v>
      </c>
      <c r="E117" s="65" t="s">
        <v>554</v>
      </c>
      <c r="F117" s="30">
        <v>2.2000000000000002</v>
      </c>
      <c r="G117" s="56">
        <f t="shared" si="13"/>
        <v>600.6</v>
      </c>
      <c r="H117" s="55">
        <v>0.49</v>
      </c>
      <c r="I117" s="56">
        <f t="shared" si="17"/>
        <v>133.77000000000001</v>
      </c>
    </row>
    <row r="118" spans="1:9" x14ac:dyDescent="0.25">
      <c r="A118" s="31" t="s">
        <v>105</v>
      </c>
      <c r="B118" s="31"/>
      <c r="C118" s="31" t="s">
        <v>500</v>
      </c>
      <c r="D118" s="78">
        <v>273</v>
      </c>
      <c r="E118" s="65" t="s">
        <v>554</v>
      </c>
      <c r="F118" s="30">
        <v>7.2</v>
      </c>
      <c r="G118" s="56">
        <f t="shared" si="13"/>
        <v>1965.6000000000001</v>
      </c>
      <c r="H118" s="55">
        <v>2.6</v>
      </c>
      <c r="I118" s="56">
        <f t="shared" si="17"/>
        <v>709.80000000000007</v>
      </c>
    </row>
    <row r="119" spans="1:9" x14ac:dyDescent="0.25">
      <c r="A119" s="31" t="s">
        <v>106</v>
      </c>
      <c r="B119" s="31"/>
      <c r="C119" s="31" t="s">
        <v>501</v>
      </c>
      <c r="D119" s="78">
        <v>273</v>
      </c>
      <c r="E119" s="65" t="s">
        <v>554</v>
      </c>
      <c r="F119" s="30">
        <v>13.8</v>
      </c>
      <c r="G119" s="56">
        <f t="shared" si="13"/>
        <v>3767.4</v>
      </c>
      <c r="H119" s="55">
        <v>14.75</v>
      </c>
      <c r="I119" s="56">
        <f t="shared" si="17"/>
        <v>4026.75</v>
      </c>
    </row>
    <row r="120" spans="1:9" x14ac:dyDescent="0.25">
      <c r="A120" s="37" t="s">
        <v>577</v>
      </c>
      <c r="B120" s="31"/>
      <c r="C120" s="31" t="s">
        <v>578</v>
      </c>
      <c r="D120" s="78">
        <v>273</v>
      </c>
      <c r="E120" s="65" t="s">
        <v>554</v>
      </c>
      <c r="F120" s="30">
        <v>18.2</v>
      </c>
      <c r="G120" s="58" t="s">
        <v>561</v>
      </c>
      <c r="I120" s="58"/>
    </row>
    <row r="121" spans="1:9" x14ac:dyDescent="0.25">
      <c r="A121" s="31" t="s">
        <v>107</v>
      </c>
      <c r="B121" s="31"/>
      <c r="C121" s="31" t="s">
        <v>502</v>
      </c>
      <c r="D121" s="78">
        <v>273</v>
      </c>
      <c r="E121" s="65" t="s">
        <v>554</v>
      </c>
      <c r="F121" s="30">
        <v>16.2</v>
      </c>
      <c r="G121" s="56">
        <f t="shared" si="13"/>
        <v>4422.5999999999995</v>
      </c>
      <c r="H121" s="30">
        <v>5.5</v>
      </c>
      <c r="I121" s="56">
        <f t="shared" ref="I121:I127" si="18">$D121*H121</f>
        <v>1501.5</v>
      </c>
    </row>
    <row r="122" spans="1:9" x14ac:dyDescent="0.25">
      <c r="A122" s="31" t="s">
        <v>108</v>
      </c>
      <c r="B122" s="31"/>
      <c r="C122" s="31" t="s">
        <v>503</v>
      </c>
      <c r="D122" s="78">
        <v>273</v>
      </c>
      <c r="E122" s="65" t="s">
        <v>554</v>
      </c>
      <c r="F122" s="30">
        <v>128.80000000000001</v>
      </c>
      <c r="G122" s="56">
        <f t="shared" si="13"/>
        <v>35162.400000000001</v>
      </c>
      <c r="H122" s="55">
        <v>88.47</v>
      </c>
      <c r="I122" s="56">
        <f t="shared" si="18"/>
        <v>24152.31</v>
      </c>
    </row>
    <row r="123" spans="1:9" x14ac:dyDescent="0.25">
      <c r="A123" s="31" t="s">
        <v>109</v>
      </c>
      <c r="B123" s="31"/>
      <c r="C123" s="31" t="s">
        <v>477</v>
      </c>
      <c r="D123" s="78">
        <v>83</v>
      </c>
      <c r="E123" s="65" t="s">
        <v>556</v>
      </c>
      <c r="F123" s="30">
        <v>6.8</v>
      </c>
      <c r="G123" s="56">
        <f t="shared" si="13"/>
        <v>564.4</v>
      </c>
      <c r="H123" s="55">
        <v>21.77</v>
      </c>
      <c r="I123" s="56">
        <f t="shared" si="18"/>
        <v>1806.9099999999999</v>
      </c>
    </row>
    <row r="124" spans="1:9" x14ac:dyDescent="0.25">
      <c r="A124" s="31" t="s">
        <v>110</v>
      </c>
      <c r="B124" s="31"/>
      <c r="C124" s="31" t="s">
        <v>478</v>
      </c>
      <c r="D124" s="78">
        <v>18</v>
      </c>
      <c r="E124" s="65" t="s">
        <v>556</v>
      </c>
      <c r="F124" s="30">
        <v>85</v>
      </c>
      <c r="G124" s="56">
        <f t="shared" si="13"/>
        <v>1530</v>
      </c>
      <c r="H124" s="55">
        <v>59.47</v>
      </c>
      <c r="I124" s="56">
        <f t="shared" si="18"/>
        <v>1070.46</v>
      </c>
    </row>
    <row r="125" spans="1:9" x14ac:dyDescent="0.25">
      <c r="A125" s="31" t="s">
        <v>111</v>
      </c>
      <c r="B125" s="31"/>
      <c r="C125" s="31" t="s">
        <v>479</v>
      </c>
      <c r="D125" s="78">
        <v>18</v>
      </c>
      <c r="E125" s="65" t="s">
        <v>556</v>
      </c>
      <c r="F125" s="30">
        <v>129</v>
      </c>
      <c r="G125" s="56">
        <f t="shared" si="13"/>
        <v>2322</v>
      </c>
      <c r="H125" s="55">
        <v>132.71</v>
      </c>
      <c r="I125" s="56">
        <f t="shared" si="18"/>
        <v>2388.7800000000002</v>
      </c>
    </row>
    <row r="126" spans="1:9" x14ac:dyDescent="0.25">
      <c r="A126" s="31" t="s">
        <v>112</v>
      </c>
      <c r="B126" s="31"/>
      <c r="C126" s="31" t="s">
        <v>454</v>
      </c>
      <c r="D126" s="78">
        <v>6</v>
      </c>
      <c r="E126" s="65" t="s">
        <v>553</v>
      </c>
      <c r="F126" s="30">
        <v>580</v>
      </c>
      <c r="G126" s="56">
        <f t="shared" si="13"/>
        <v>3480</v>
      </c>
      <c r="H126" s="55">
        <v>491.5</v>
      </c>
      <c r="I126" s="56">
        <f t="shared" si="18"/>
        <v>2949</v>
      </c>
    </row>
    <row r="127" spans="1:9" x14ac:dyDescent="0.25">
      <c r="A127" s="31" t="s">
        <v>113</v>
      </c>
      <c r="B127" s="31"/>
      <c r="C127" s="31" t="s">
        <v>455</v>
      </c>
      <c r="D127" s="78">
        <v>6</v>
      </c>
      <c r="E127" s="65" t="s">
        <v>553</v>
      </c>
      <c r="F127" s="30">
        <v>580</v>
      </c>
      <c r="G127" s="56">
        <f t="shared" si="13"/>
        <v>3480</v>
      </c>
      <c r="H127" s="55">
        <v>442.35</v>
      </c>
      <c r="I127" s="56">
        <f t="shared" si="18"/>
        <v>2654.1000000000004</v>
      </c>
    </row>
    <row r="128" spans="1:9" x14ac:dyDescent="0.25">
      <c r="A128" s="31" t="s">
        <v>114</v>
      </c>
      <c r="B128" s="31" t="s">
        <v>432</v>
      </c>
      <c r="C128" s="31" t="s">
        <v>456</v>
      </c>
      <c r="D128" s="78">
        <v>1</v>
      </c>
      <c r="E128" s="65" t="s">
        <v>553</v>
      </c>
      <c r="F128" s="30">
        <v>320</v>
      </c>
      <c r="G128" s="58" t="s">
        <v>561</v>
      </c>
      <c r="H128" s="55">
        <v>98.3</v>
      </c>
      <c r="I128" s="58" t="s">
        <v>561</v>
      </c>
    </row>
    <row r="129" spans="1:11" x14ac:dyDescent="0.25">
      <c r="A129" s="31" t="s">
        <v>115</v>
      </c>
      <c r="B129" s="31" t="s">
        <v>432</v>
      </c>
      <c r="C129" s="31" t="s">
        <v>457</v>
      </c>
      <c r="D129" s="78">
        <v>1</v>
      </c>
      <c r="E129" s="65" t="s">
        <v>553</v>
      </c>
      <c r="F129" s="30">
        <v>280</v>
      </c>
      <c r="G129" s="58" t="s">
        <v>561</v>
      </c>
      <c r="H129" s="55">
        <v>73.73</v>
      </c>
      <c r="I129" s="58" t="s">
        <v>561</v>
      </c>
    </row>
    <row r="130" spans="1:11" x14ac:dyDescent="0.25">
      <c r="A130" s="31" t="s">
        <v>116</v>
      </c>
      <c r="B130" s="31" t="s">
        <v>432</v>
      </c>
      <c r="C130" s="31" t="s">
        <v>458</v>
      </c>
      <c r="D130" s="78">
        <v>1</v>
      </c>
      <c r="E130" s="65" t="s">
        <v>556</v>
      </c>
      <c r="F130" s="30">
        <v>380</v>
      </c>
      <c r="G130" s="58" t="s">
        <v>561</v>
      </c>
      <c r="H130" s="55">
        <v>78.64</v>
      </c>
      <c r="I130" s="58" t="s">
        <v>561</v>
      </c>
    </row>
    <row r="131" spans="1:11" x14ac:dyDescent="0.25">
      <c r="A131" s="31" t="s">
        <v>117</v>
      </c>
      <c r="B131" s="31"/>
      <c r="C131" s="31" t="s">
        <v>459</v>
      </c>
      <c r="D131" s="78">
        <v>493</v>
      </c>
      <c r="E131" s="65" t="s">
        <v>554</v>
      </c>
      <c r="F131" s="30"/>
      <c r="G131" s="56"/>
      <c r="H131" s="55">
        <v>2.95</v>
      </c>
      <c r="I131" s="56">
        <f t="shared" ref="I131:I132" si="19">$D131*H131</f>
        <v>1454.3500000000001</v>
      </c>
    </row>
    <row r="132" spans="1:11" x14ac:dyDescent="0.25">
      <c r="A132" s="37" t="s">
        <v>581</v>
      </c>
      <c r="B132" s="31"/>
      <c r="C132" s="31" t="s">
        <v>580</v>
      </c>
      <c r="D132" s="78">
        <v>1</v>
      </c>
      <c r="E132" s="65" t="s">
        <v>572</v>
      </c>
      <c r="F132" s="30">
        <v>1000</v>
      </c>
      <c r="G132" s="56">
        <f t="shared" si="13"/>
        <v>1000</v>
      </c>
      <c r="H132" s="30"/>
      <c r="I132" s="56"/>
    </row>
    <row r="133" spans="1:11" s="42" customFormat="1" x14ac:dyDescent="0.25">
      <c r="A133" s="40"/>
      <c r="B133" s="40"/>
      <c r="C133" s="38" t="s">
        <v>504</v>
      </c>
      <c r="D133" s="82"/>
      <c r="E133" s="69"/>
      <c r="F133" s="41"/>
      <c r="G133" s="61"/>
      <c r="H133" s="41"/>
      <c r="I133" s="61"/>
      <c r="K133" s="108"/>
    </row>
    <row r="134" spans="1:11" x14ac:dyDescent="0.25">
      <c r="A134" s="31" t="s">
        <v>118</v>
      </c>
      <c r="B134" s="31"/>
      <c r="C134" s="31" t="s">
        <v>446</v>
      </c>
      <c r="D134" s="78">
        <v>221</v>
      </c>
      <c r="E134" s="65" t="s">
        <v>554</v>
      </c>
      <c r="F134" s="30">
        <v>1.2</v>
      </c>
      <c r="G134" s="56">
        <f t="shared" si="13"/>
        <v>265.2</v>
      </c>
      <c r="H134" s="55">
        <v>0.98</v>
      </c>
      <c r="I134" s="56">
        <f t="shared" ref="I134:I146" si="20">$D134*H134</f>
        <v>216.57999999999998</v>
      </c>
    </row>
    <row r="135" spans="1:11" x14ac:dyDescent="0.25">
      <c r="A135" s="31" t="s">
        <v>119</v>
      </c>
      <c r="B135" s="31"/>
      <c r="C135" s="31" t="s">
        <v>447</v>
      </c>
      <c r="D135" s="78">
        <v>221</v>
      </c>
      <c r="E135" s="65" t="s">
        <v>554</v>
      </c>
      <c r="F135" s="30">
        <v>2.9</v>
      </c>
      <c r="G135" s="56">
        <f t="shared" si="13"/>
        <v>640.9</v>
      </c>
      <c r="H135" s="55">
        <v>3.15</v>
      </c>
      <c r="I135" s="56">
        <f t="shared" si="20"/>
        <v>696.15</v>
      </c>
    </row>
    <row r="136" spans="1:11" x14ac:dyDescent="0.25">
      <c r="A136" s="31" t="s">
        <v>120</v>
      </c>
      <c r="B136" s="31"/>
      <c r="C136" s="31" t="s">
        <v>482</v>
      </c>
      <c r="D136" s="78">
        <v>103</v>
      </c>
      <c r="E136" s="65" t="s">
        <v>556</v>
      </c>
      <c r="F136" s="30">
        <v>2.4</v>
      </c>
      <c r="G136" s="56">
        <f t="shared" si="13"/>
        <v>247.2</v>
      </c>
      <c r="H136" s="55">
        <v>2.36</v>
      </c>
      <c r="I136" s="56">
        <f t="shared" si="20"/>
        <v>243.07999999999998</v>
      </c>
    </row>
    <row r="137" spans="1:11" x14ac:dyDescent="0.25">
      <c r="A137" s="31" t="s">
        <v>121</v>
      </c>
      <c r="B137" s="31"/>
      <c r="C137" s="31" t="s">
        <v>483</v>
      </c>
      <c r="D137" s="78">
        <v>221</v>
      </c>
      <c r="E137" s="65" t="s">
        <v>554</v>
      </c>
      <c r="F137" s="30">
        <v>16.2</v>
      </c>
      <c r="G137" s="56">
        <f t="shared" si="13"/>
        <v>3580.2</v>
      </c>
      <c r="H137" s="55">
        <v>10.220000000000001</v>
      </c>
      <c r="I137" s="56">
        <f t="shared" si="20"/>
        <v>2258.6200000000003</v>
      </c>
    </row>
    <row r="138" spans="1:11" x14ac:dyDescent="0.25">
      <c r="A138" s="31" t="s">
        <v>122</v>
      </c>
      <c r="B138" s="31"/>
      <c r="C138" s="31" t="s">
        <v>484</v>
      </c>
      <c r="D138" s="78">
        <v>103</v>
      </c>
      <c r="E138" s="65" t="s">
        <v>556</v>
      </c>
      <c r="F138" s="30">
        <v>15.1</v>
      </c>
      <c r="G138" s="56">
        <f t="shared" si="13"/>
        <v>1555.3</v>
      </c>
      <c r="H138" s="55">
        <v>7.67</v>
      </c>
      <c r="I138" s="56">
        <f t="shared" si="20"/>
        <v>790.01</v>
      </c>
    </row>
    <row r="139" spans="1:11" x14ac:dyDescent="0.25">
      <c r="A139" s="31" t="s">
        <v>123</v>
      </c>
      <c r="B139" s="31"/>
      <c r="C139" s="31" t="s">
        <v>452</v>
      </c>
      <c r="D139" s="78">
        <v>103</v>
      </c>
      <c r="E139" s="65" t="s">
        <v>556</v>
      </c>
      <c r="F139" s="30">
        <v>3.2</v>
      </c>
      <c r="G139" s="56">
        <f t="shared" si="13"/>
        <v>329.6</v>
      </c>
      <c r="H139" s="55">
        <v>3.78</v>
      </c>
      <c r="I139" s="56">
        <f t="shared" si="20"/>
        <v>389.34</v>
      </c>
    </row>
    <row r="140" spans="1:11" x14ac:dyDescent="0.25">
      <c r="A140" s="31" t="s">
        <v>124</v>
      </c>
      <c r="B140" s="31"/>
      <c r="C140" s="31" t="s">
        <v>505</v>
      </c>
      <c r="D140" s="78">
        <v>9</v>
      </c>
      <c r="E140" s="65" t="s">
        <v>554</v>
      </c>
      <c r="F140" s="30">
        <v>55.8</v>
      </c>
      <c r="G140" s="56">
        <f t="shared" si="13"/>
        <v>502.2</v>
      </c>
      <c r="H140" s="108">
        <v>34.479999999999997</v>
      </c>
      <c r="I140" s="56">
        <f t="shared" si="20"/>
        <v>310.32</v>
      </c>
    </row>
    <row r="141" spans="1:11" x14ac:dyDescent="0.25">
      <c r="A141" s="31" t="s">
        <v>125</v>
      </c>
      <c r="B141" s="31"/>
      <c r="C141" s="31" t="s">
        <v>506</v>
      </c>
      <c r="D141" s="78">
        <v>212</v>
      </c>
      <c r="E141" s="65" t="s">
        <v>554</v>
      </c>
      <c r="F141" s="30">
        <v>42.8</v>
      </c>
      <c r="G141" s="56">
        <f t="shared" si="13"/>
        <v>9073.5999999999985</v>
      </c>
      <c r="H141" s="55">
        <v>31.46</v>
      </c>
      <c r="I141" s="56">
        <f t="shared" si="20"/>
        <v>6669.52</v>
      </c>
    </row>
    <row r="142" spans="1:11" x14ac:dyDescent="0.25">
      <c r="A142" s="31" t="s">
        <v>126</v>
      </c>
      <c r="B142" s="31"/>
      <c r="C142" s="31" t="s">
        <v>494</v>
      </c>
      <c r="D142" s="78">
        <v>221</v>
      </c>
      <c r="E142" s="65" t="s">
        <v>554</v>
      </c>
      <c r="F142" s="30">
        <v>16.2</v>
      </c>
      <c r="G142" s="56">
        <f t="shared" si="13"/>
        <v>3580.2</v>
      </c>
      <c r="H142" s="55">
        <v>12.58</v>
      </c>
      <c r="I142" s="56">
        <f t="shared" si="20"/>
        <v>2780.18</v>
      </c>
    </row>
    <row r="143" spans="1:11" x14ac:dyDescent="0.25">
      <c r="A143" s="31" t="s">
        <v>127</v>
      </c>
      <c r="B143" s="31"/>
      <c r="C143" s="31" t="s">
        <v>496</v>
      </c>
      <c r="D143" s="78">
        <v>221</v>
      </c>
      <c r="E143" s="65" t="s">
        <v>554</v>
      </c>
      <c r="F143" s="30">
        <v>19.899999999999999</v>
      </c>
      <c r="G143" s="56">
        <f t="shared" si="13"/>
        <v>4397.8999999999996</v>
      </c>
      <c r="H143" s="55">
        <v>16.12</v>
      </c>
      <c r="I143" s="56">
        <f t="shared" si="20"/>
        <v>3562.5200000000004</v>
      </c>
    </row>
    <row r="144" spans="1:11" x14ac:dyDescent="0.25">
      <c r="A144" s="31" t="s">
        <v>128</v>
      </c>
      <c r="B144" s="31"/>
      <c r="C144" s="31" t="s">
        <v>487</v>
      </c>
      <c r="D144" s="78">
        <v>103</v>
      </c>
      <c r="E144" s="65" t="s">
        <v>556</v>
      </c>
      <c r="F144" s="30">
        <v>65</v>
      </c>
      <c r="G144" s="56">
        <f t="shared" si="13"/>
        <v>6695</v>
      </c>
      <c r="H144" s="55">
        <v>12.92</v>
      </c>
      <c r="I144" s="56">
        <f t="shared" si="20"/>
        <v>1330.76</v>
      </c>
    </row>
    <row r="145" spans="1:9" x14ac:dyDescent="0.25">
      <c r="A145" s="31" t="s">
        <v>129</v>
      </c>
      <c r="B145" s="31"/>
      <c r="C145" s="31" t="s">
        <v>507</v>
      </c>
      <c r="D145" s="78">
        <v>9</v>
      </c>
      <c r="E145" s="65" t="s">
        <v>554</v>
      </c>
      <c r="F145" s="30">
        <v>26.8</v>
      </c>
      <c r="G145" s="56">
        <f t="shared" si="13"/>
        <v>241.20000000000002</v>
      </c>
      <c r="H145" s="55">
        <v>17.2</v>
      </c>
      <c r="I145" s="56">
        <f t="shared" si="20"/>
        <v>154.79999999999998</v>
      </c>
    </row>
    <row r="146" spans="1:9" x14ac:dyDescent="0.25">
      <c r="A146" s="31" t="s">
        <v>130</v>
      </c>
      <c r="B146" s="31"/>
      <c r="C146" s="31" t="s">
        <v>508</v>
      </c>
      <c r="D146" s="78">
        <v>212</v>
      </c>
      <c r="E146" s="65" t="s">
        <v>554</v>
      </c>
      <c r="F146" s="43" t="s">
        <v>582</v>
      </c>
      <c r="G146" s="87" t="s">
        <v>582</v>
      </c>
      <c r="H146" s="55">
        <v>34.409999999999997</v>
      </c>
      <c r="I146" s="56">
        <f t="shared" si="20"/>
        <v>7294.9199999999992</v>
      </c>
    </row>
    <row r="147" spans="1:9" x14ac:dyDescent="0.25">
      <c r="A147" s="31" t="s">
        <v>131</v>
      </c>
      <c r="B147" s="31"/>
      <c r="C147" s="31" t="s">
        <v>509</v>
      </c>
      <c r="D147" s="78">
        <v>9</v>
      </c>
      <c r="E147" s="65" t="s">
        <v>554</v>
      </c>
      <c r="F147" s="30">
        <v>17.8</v>
      </c>
      <c r="G147" s="56">
        <f t="shared" si="13"/>
        <v>160.20000000000002</v>
      </c>
      <c r="H147" s="55">
        <v>4.72</v>
      </c>
      <c r="I147" s="56">
        <f t="shared" ref="I147:I151" si="21">$D147*H147</f>
        <v>42.48</v>
      </c>
    </row>
    <row r="148" spans="1:9" x14ac:dyDescent="0.25">
      <c r="A148" s="31" t="s">
        <v>132</v>
      </c>
      <c r="B148" s="31"/>
      <c r="C148" s="31" t="s">
        <v>510</v>
      </c>
      <c r="D148" s="78">
        <v>212</v>
      </c>
      <c r="E148" s="65" t="s">
        <v>554</v>
      </c>
      <c r="F148" s="30">
        <v>49.5</v>
      </c>
      <c r="G148" s="56">
        <f t="shared" si="13"/>
        <v>10494</v>
      </c>
      <c r="H148" s="55">
        <v>29.49</v>
      </c>
      <c r="I148" s="56">
        <f t="shared" si="21"/>
        <v>6251.88</v>
      </c>
    </row>
    <row r="149" spans="1:9" x14ac:dyDescent="0.25">
      <c r="A149" s="31" t="s">
        <v>133</v>
      </c>
      <c r="B149" s="31"/>
      <c r="C149" s="31" t="s">
        <v>511</v>
      </c>
      <c r="D149" s="78">
        <v>221</v>
      </c>
      <c r="E149" s="65" t="s">
        <v>554</v>
      </c>
      <c r="F149" s="30">
        <v>128.9</v>
      </c>
      <c r="G149" s="56">
        <f t="shared" ref="G149:G210" si="22">$D149*F149</f>
        <v>28486.9</v>
      </c>
      <c r="H149" s="55">
        <v>88.47</v>
      </c>
      <c r="I149" s="56">
        <f t="shared" si="21"/>
        <v>19551.87</v>
      </c>
    </row>
    <row r="150" spans="1:9" x14ac:dyDescent="0.25">
      <c r="A150" s="31" t="s">
        <v>134</v>
      </c>
      <c r="B150" s="31"/>
      <c r="C150" s="31" t="s">
        <v>512</v>
      </c>
      <c r="D150" s="78">
        <v>84</v>
      </c>
      <c r="E150" s="65" t="s">
        <v>556</v>
      </c>
      <c r="F150" s="88"/>
      <c r="G150" s="89" t="s">
        <v>617</v>
      </c>
      <c r="H150" s="55">
        <v>196.6</v>
      </c>
      <c r="I150" s="56">
        <f t="shared" si="21"/>
        <v>16514.399999999998</v>
      </c>
    </row>
    <row r="151" spans="1:9" x14ac:dyDescent="0.25">
      <c r="A151" s="31" t="s">
        <v>135</v>
      </c>
      <c r="B151" s="31"/>
      <c r="C151" s="31" t="s">
        <v>513</v>
      </c>
      <c r="D151" s="78">
        <v>16</v>
      </c>
      <c r="E151" s="65" t="s">
        <v>556</v>
      </c>
      <c r="F151" s="88"/>
      <c r="G151" s="89" t="s">
        <v>617</v>
      </c>
      <c r="H151" s="55">
        <v>540.65</v>
      </c>
      <c r="I151" s="56">
        <f t="shared" si="21"/>
        <v>8650.4</v>
      </c>
    </row>
    <row r="152" spans="1:9" x14ac:dyDescent="0.25">
      <c r="A152" s="31" t="s">
        <v>136</v>
      </c>
      <c r="B152" s="31"/>
      <c r="C152" s="31" t="s">
        <v>477</v>
      </c>
      <c r="D152" s="78">
        <v>77</v>
      </c>
      <c r="E152" s="65" t="s">
        <v>556</v>
      </c>
      <c r="F152" s="30">
        <v>6.8</v>
      </c>
      <c r="G152" s="56">
        <f t="shared" si="22"/>
        <v>523.6</v>
      </c>
      <c r="H152" s="55">
        <v>21.77</v>
      </c>
      <c r="I152" s="56">
        <f t="shared" ref="I152:I156" si="23">$D152*H152</f>
        <v>1676.29</v>
      </c>
    </row>
    <row r="153" spans="1:9" x14ac:dyDescent="0.25">
      <c r="A153" s="31" t="s">
        <v>137</v>
      </c>
      <c r="B153" s="31"/>
      <c r="C153" s="31" t="s">
        <v>478</v>
      </c>
      <c r="D153" s="78">
        <v>45</v>
      </c>
      <c r="E153" s="65" t="s">
        <v>556</v>
      </c>
      <c r="F153" s="30">
        <v>85</v>
      </c>
      <c r="G153" s="56">
        <f t="shared" si="22"/>
        <v>3825</v>
      </c>
      <c r="H153" s="55">
        <v>59.47</v>
      </c>
      <c r="I153" s="56">
        <f t="shared" si="23"/>
        <v>2676.15</v>
      </c>
    </row>
    <row r="154" spans="1:9" x14ac:dyDescent="0.25">
      <c r="A154" s="31" t="s">
        <v>138</v>
      </c>
      <c r="B154" s="31"/>
      <c r="C154" s="31" t="s">
        <v>479</v>
      </c>
      <c r="D154" s="78">
        <v>45</v>
      </c>
      <c r="E154" s="65" t="s">
        <v>556</v>
      </c>
      <c r="F154" s="30">
        <v>129</v>
      </c>
      <c r="G154" s="56">
        <f t="shared" si="22"/>
        <v>5805</v>
      </c>
      <c r="H154" s="55">
        <v>132.71</v>
      </c>
      <c r="I154" s="56">
        <f t="shared" si="23"/>
        <v>5971.9500000000007</v>
      </c>
    </row>
    <row r="155" spans="1:9" x14ac:dyDescent="0.25">
      <c r="A155" s="31" t="s">
        <v>139</v>
      </c>
      <c r="B155" s="31"/>
      <c r="C155" s="31" t="s">
        <v>454</v>
      </c>
      <c r="D155" s="78">
        <v>5</v>
      </c>
      <c r="E155" s="65" t="s">
        <v>553</v>
      </c>
      <c r="F155" s="30">
        <v>580</v>
      </c>
      <c r="G155" s="56">
        <f t="shared" si="22"/>
        <v>2900</v>
      </c>
      <c r="H155" s="55">
        <v>491.5</v>
      </c>
      <c r="I155" s="56">
        <f t="shared" si="23"/>
        <v>2457.5</v>
      </c>
    </row>
    <row r="156" spans="1:9" x14ac:dyDescent="0.25">
      <c r="A156" s="31" t="s">
        <v>140</v>
      </c>
      <c r="B156" s="31"/>
      <c r="C156" s="31" t="s">
        <v>455</v>
      </c>
      <c r="D156" s="78">
        <v>5</v>
      </c>
      <c r="E156" s="65" t="s">
        <v>553</v>
      </c>
      <c r="F156" s="30">
        <v>580</v>
      </c>
      <c r="G156" s="56">
        <f t="shared" si="22"/>
        <v>2900</v>
      </c>
      <c r="H156" s="55">
        <v>442.35</v>
      </c>
      <c r="I156" s="56">
        <f t="shared" si="23"/>
        <v>2211.75</v>
      </c>
    </row>
    <row r="157" spans="1:9" x14ac:dyDescent="0.25">
      <c r="A157" s="31" t="s">
        <v>141</v>
      </c>
      <c r="B157" s="31" t="s">
        <v>432</v>
      </c>
      <c r="C157" s="31" t="s">
        <v>456</v>
      </c>
      <c r="D157" s="78">
        <v>1</v>
      </c>
      <c r="E157" s="65" t="s">
        <v>553</v>
      </c>
      <c r="F157" s="30">
        <v>320</v>
      </c>
      <c r="G157" s="58" t="s">
        <v>561</v>
      </c>
      <c r="H157" s="55">
        <v>98.3</v>
      </c>
      <c r="I157" s="58" t="s">
        <v>561</v>
      </c>
    </row>
    <row r="158" spans="1:9" x14ac:dyDescent="0.25">
      <c r="A158" s="31" t="s">
        <v>142</v>
      </c>
      <c r="B158" s="31" t="s">
        <v>432</v>
      </c>
      <c r="C158" s="31" t="s">
        <v>457</v>
      </c>
      <c r="D158" s="78">
        <v>1</v>
      </c>
      <c r="E158" s="65" t="s">
        <v>553</v>
      </c>
      <c r="F158" s="30">
        <v>280</v>
      </c>
      <c r="G158" s="58" t="s">
        <v>561</v>
      </c>
      <c r="H158" s="55">
        <v>73.73</v>
      </c>
      <c r="I158" s="58" t="s">
        <v>561</v>
      </c>
    </row>
    <row r="159" spans="1:9" x14ac:dyDescent="0.25">
      <c r="A159" s="31" t="s">
        <v>143</v>
      </c>
      <c r="B159" s="31" t="s">
        <v>432</v>
      </c>
      <c r="C159" s="31" t="s">
        <v>458</v>
      </c>
      <c r="D159" s="78">
        <v>1</v>
      </c>
      <c r="E159" s="65" t="s">
        <v>556</v>
      </c>
      <c r="F159" s="30">
        <v>380</v>
      </c>
      <c r="G159" s="58" t="s">
        <v>561</v>
      </c>
      <c r="H159" s="55">
        <v>78.64</v>
      </c>
      <c r="I159" s="58" t="s">
        <v>561</v>
      </c>
    </row>
    <row r="160" spans="1:9" x14ac:dyDescent="0.25">
      <c r="A160" s="31" t="s">
        <v>144</v>
      </c>
      <c r="B160" s="31"/>
      <c r="C160" s="31" t="s">
        <v>584</v>
      </c>
      <c r="D160" s="78">
        <v>221</v>
      </c>
      <c r="E160" s="65" t="s">
        <v>554</v>
      </c>
      <c r="F160" s="30"/>
      <c r="G160" s="56"/>
      <c r="H160" s="55">
        <v>2.95</v>
      </c>
      <c r="I160" s="56">
        <f t="shared" ref="I160" si="24">$D160*H160</f>
        <v>651.95000000000005</v>
      </c>
    </row>
    <row r="161" spans="1:11" x14ac:dyDescent="0.25">
      <c r="A161" s="37" t="s">
        <v>583</v>
      </c>
      <c r="B161" s="31"/>
      <c r="C161" s="31" t="s">
        <v>580</v>
      </c>
      <c r="D161" s="78">
        <v>1</v>
      </c>
      <c r="E161" s="65" t="s">
        <v>572</v>
      </c>
      <c r="F161" s="30">
        <v>500</v>
      </c>
      <c r="G161" s="56">
        <f t="shared" si="22"/>
        <v>500</v>
      </c>
      <c r="H161" s="30"/>
      <c r="I161" s="56"/>
    </row>
    <row r="162" spans="1:11" x14ac:dyDescent="0.25">
      <c r="A162" s="32" t="s">
        <v>89</v>
      </c>
      <c r="B162" s="32"/>
      <c r="C162" s="32" t="s">
        <v>489</v>
      </c>
      <c r="D162" s="79"/>
      <c r="E162" s="66"/>
      <c r="F162" s="33"/>
      <c r="G162" s="57">
        <f>SUM(G103:G161)</f>
        <v>191329.2</v>
      </c>
      <c r="H162" s="33"/>
      <c r="I162" s="57">
        <f>SUM(I103:I161)</f>
        <v>167809.43000000002</v>
      </c>
    </row>
    <row r="163" spans="1:11" x14ac:dyDescent="0.25">
      <c r="A163" s="31"/>
      <c r="B163" s="31"/>
      <c r="C163" s="31"/>
      <c r="D163" s="78"/>
      <c r="E163" s="65"/>
      <c r="F163" s="30"/>
      <c r="G163" s="56"/>
      <c r="H163" s="30"/>
      <c r="I163" s="56"/>
    </row>
    <row r="164" spans="1:11" s="44" customFormat="1" x14ac:dyDescent="0.25">
      <c r="A164" s="38"/>
      <c r="B164" s="38"/>
      <c r="C164" s="38" t="s">
        <v>515</v>
      </c>
      <c r="D164" s="81"/>
      <c r="E164" s="68"/>
      <c r="F164" s="39"/>
      <c r="G164" s="60"/>
      <c r="H164" s="39"/>
      <c r="I164" s="60"/>
      <c r="K164" s="111"/>
    </row>
    <row r="165" spans="1:11" x14ac:dyDescent="0.25">
      <c r="A165" s="31" t="s">
        <v>146</v>
      </c>
      <c r="B165" s="31"/>
      <c r="C165" s="31" t="s">
        <v>446</v>
      </c>
      <c r="D165" s="78">
        <v>45</v>
      </c>
      <c r="E165" s="65" t="s">
        <v>554</v>
      </c>
      <c r="F165" s="30">
        <v>2.8</v>
      </c>
      <c r="G165" s="56">
        <f t="shared" si="22"/>
        <v>125.99999999999999</v>
      </c>
      <c r="H165" s="55">
        <v>0.98</v>
      </c>
      <c r="I165" s="56">
        <f t="shared" ref="I165:I168" si="25">$D165*H165</f>
        <v>44.1</v>
      </c>
    </row>
    <row r="166" spans="1:11" x14ac:dyDescent="0.25">
      <c r="A166" s="31" t="s">
        <v>147</v>
      </c>
      <c r="B166" s="31"/>
      <c r="C166" s="31" t="s">
        <v>447</v>
      </c>
      <c r="D166" s="78">
        <v>45</v>
      </c>
      <c r="E166" s="65" t="s">
        <v>554</v>
      </c>
      <c r="F166" s="30">
        <v>4.2</v>
      </c>
      <c r="G166" s="56">
        <f t="shared" si="22"/>
        <v>189</v>
      </c>
      <c r="H166" s="55">
        <v>3.15</v>
      </c>
      <c r="I166" s="56">
        <f t="shared" si="25"/>
        <v>141.75</v>
      </c>
    </row>
    <row r="167" spans="1:11" x14ac:dyDescent="0.25">
      <c r="A167" s="31" t="s">
        <v>148</v>
      </c>
      <c r="B167" s="31"/>
      <c r="C167" s="31" t="s">
        <v>516</v>
      </c>
      <c r="D167" s="78">
        <v>50</v>
      </c>
      <c r="E167" s="65" t="s">
        <v>556</v>
      </c>
      <c r="F167" s="30">
        <v>3.8</v>
      </c>
      <c r="G167" s="56">
        <f t="shared" si="22"/>
        <v>190</v>
      </c>
      <c r="H167" s="55">
        <v>1.42</v>
      </c>
      <c r="I167" s="56">
        <f t="shared" si="25"/>
        <v>71</v>
      </c>
    </row>
    <row r="168" spans="1:11" x14ac:dyDescent="0.25">
      <c r="A168" s="31" t="s">
        <v>149</v>
      </c>
      <c r="B168" s="31"/>
      <c r="C168" s="31" t="s">
        <v>449</v>
      </c>
      <c r="D168" s="78">
        <v>45</v>
      </c>
      <c r="E168" s="65" t="s">
        <v>554</v>
      </c>
      <c r="F168" s="30">
        <v>19.899999999999999</v>
      </c>
      <c r="G168" s="56">
        <f t="shared" si="22"/>
        <v>895.49999999999989</v>
      </c>
      <c r="H168" s="55">
        <v>16.22</v>
      </c>
      <c r="I168" s="56">
        <f t="shared" si="25"/>
        <v>729.9</v>
      </c>
    </row>
    <row r="169" spans="1:11" x14ac:dyDescent="0.25">
      <c r="A169" s="37" t="s">
        <v>585</v>
      </c>
      <c r="B169" s="31"/>
      <c r="C169" s="31" t="s">
        <v>564</v>
      </c>
      <c r="D169" s="78">
        <v>45</v>
      </c>
      <c r="E169" s="65" t="s">
        <v>554</v>
      </c>
      <c r="F169" s="30">
        <v>22.4</v>
      </c>
      <c r="G169" s="58" t="s">
        <v>561</v>
      </c>
      <c r="H169" s="30"/>
      <c r="I169" s="58"/>
    </row>
    <row r="170" spans="1:11" x14ac:dyDescent="0.25">
      <c r="A170" s="31" t="s">
        <v>150</v>
      </c>
      <c r="B170" s="31"/>
      <c r="C170" s="31" t="s">
        <v>450</v>
      </c>
      <c r="D170" s="78">
        <v>45</v>
      </c>
      <c r="E170" s="65" t="s">
        <v>554</v>
      </c>
      <c r="F170" s="30">
        <v>21.4</v>
      </c>
      <c r="G170" s="56">
        <f t="shared" si="22"/>
        <v>962.99999999999989</v>
      </c>
      <c r="H170" s="55">
        <v>17.2</v>
      </c>
      <c r="I170" s="56">
        <f t="shared" ref="I170" si="26">$D170*H170</f>
        <v>774</v>
      </c>
    </row>
    <row r="171" spans="1:11" x14ac:dyDescent="0.25">
      <c r="A171" s="37" t="s">
        <v>586</v>
      </c>
      <c r="B171" s="31"/>
      <c r="C171" s="31" t="s">
        <v>564</v>
      </c>
      <c r="D171" s="78">
        <v>45</v>
      </c>
      <c r="E171" s="65" t="s">
        <v>554</v>
      </c>
      <c r="F171" s="30">
        <v>23.4</v>
      </c>
      <c r="G171" s="58" t="s">
        <v>561</v>
      </c>
      <c r="H171" s="30"/>
      <c r="I171" s="58"/>
    </row>
    <row r="172" spans="1:11" x14ac:dyDescent="0.25">
      <c r="A172" s="31" t="s">
        <v>151</v>
      </c>
      <c r="B172" s="31"/>
      <c r="C172" s="31" t="s">
        <v>487</v>
      </c>
      <c r="D172" s="78">
        <v>50</v>
      </c>
      <c r="E172" s="65" t="s">
        <v>556</v>
      </c>
      <c r="F172" s="30">
        <v>75</v>
      </c>
      <c r="G172" s="56">
        <f t="shared" si="22"/>
        <v>3750</v>
      </c>
      <c r="H172" s="55">
        <v>15.04</v>
      </c>
      <c r="I172" s="56">
        <f t="shared" ref="I172" si="27">$D172*H172</f>
        <v>752</v>
      </c>
    </row>
    <row r="173" spans="1:11" x14ac:dyDescent="0.25">
      <c r="A173" s="37" t="s">
        <v>587</v>
      </c>
      <c r="B173" s="31"/>
      <c r="C173" s="31" t="s">
        <v>588</v>
      </c>
      <c r="D173" s="78">
        <v>50</v>
      </c>
      <c r="E173" s="65" t="s">
        <v>556</v>
      </c>
      <c r="F173" s="30">
        <v>105</v>
      </c>
      <c r="G173" s="58" t="s">
        <v>561</v>
      </c>
      <c r="H173" s="30"/>
      <c r="I173" s="58"/>
    </row>
    <row r="174" spans="1:11" x14ac:dyDescent="0.25">
      <c r="A174" s="31" t="s">
        <v>152</v>
      </c>
      <c r="B174" s="31"/>
      <c r="C174" s="31" t="s">
        <v>517</v>
      </c>
      <c r="D174" s="78">
        <v>45</v>
      </c>
      <c r="E174" s="65" t="s">
        <v>554</v>
      </c>
      <c r="F174" s="30"/>
      <c r="G174" s="89" t="s">
        <v>617</v>
      </c>
      <c r="H174" s="55">
        <v>34.409999999999997</v>
      </c>
      <c r="I174" s="56">
        <f t="shared" ref="I174:I181" si="28">$D174*H174</f>
        <v>1548.4499999999998</v>
      </c>
    </row>
    <row r="175" spans="1:11" x14ac:dyDescent="0.25">
      <c r="A175" s="31" t="s">
        <v>153</v>
      </c>
      <c r="B175" s="31"/>
      <c r="C175" s="31" t="s">
        <v>511</v>
      </c>
      <c r="D175" s="78">
        <v>45</v>
      </c>
      <c r="E175" s="65" t="s">
        <v>554</v>
      </c>
      <c r="F175" s="30">
        <v>128.80000000000001</v>
      </c>
      <c r="G175" s="56">
        <f t="shared" si="22"/>
        <v>5796.0000000000009</v>
      </c>
      <c r="H175" s="111">
        <v>88.47</v>
      </c>
      <c r="I175" s="56">
        <f t="shared" si="28"/>
        <v>3981.15</v>
      </c>
    </row>
    <row r="176" spans="1:11" x14ac:dyDescent="0.25">
      <c r="A176" s="31" t="s">
        <v>154</v>
      </c>
      <c r="B176" s="31"/>
      <c r="C176" s="31" t="s">
        <v>518</v>
      </c>
      <c r="D176" s="78">
        <v>45</v>
      </c>
      <c r="E176" s="65" t="s">
        <v>554</v>
      </c>
      <c r="F176" s="30">
        <v>49.9</v>
      </c>
      <c r="G176" s="56">
        <f t="shared" si="22"/>
        <v>2245.5</v>
      </c>
      <c r="H176" s="55">
        <v>29.49</v>
      </c>
      <c r="I176" s="56">
        <f t="shared" si="28"/>
        <v>1327.05</v>
      </c>
    </row>
    <row r="177" spans="1:11" x14ac:dyDescent="0.25">
      <c r="A177" s="31" t="s">
        <v>155</v>
      </c>
      <c r="B177" s="31"/>
      <c r="C177" s="31" t="s">
        <v>477</v>
      </c>
      <c r="D177" s="78">
        <v>25</v>
      </c>
      <c r="E177" s="65" t="s">
        <v>556</v>
      </c>
      <c r="F177" s="30">
        <v>6.8</v>
      </c>
      <c r="G177" s="56">
        <f t="shared" si="22"/>
        <v>170</v>
      </c>
      <c r="H177" s="55">
        <v>21.77</v>
      </c>
      <c r="I177" s="56">
        <f t="shared" si="28"/>
        <v>544.25</v>
      </c>
    </row>
    <row r="178" spans="1:11" x14ac:dyDescent="0.25">
      <c r="A178" s="31" t="s">
        <v>156</v>
      </c>
      <c r="B178" s="31"/>
      <c r="C178" s="31" t="s">
        <v>478</v>
      </c>
      <c r="D178" s="78">
        <v>15</v>
      </c>
      <c r="E178" s="65" t="s">
        <v>556</v>
      </c>
      <c r="F178" s="30">
        <v>85</v>
      </c>
      <c r="G178" s="56">
        <f t="shared" si="22"/>
        <v>1275</v>
      </c>
      <c r="H178" s="55">
        <v>59.47</v>
      </c>
      <c r="I178" s="56">
        <f t="shared" si="28"/>
        <v>892.05</v>
      </c>
    </row>
    <row r="179" spans="1:11" x14ac:dyDescent="0.25">
      <c r="A179" s="31" t="s">
        <v>157</v>
      </c>
      <c r="B179" s="31"/>
      <c r="C179" s="31" t="s">
        <v>479</v>
      </c>
      <c r="D179" s="78">
        <v>15</v>
      </c>
      <c r="E179" s="65" t="s">
        <v>556</v>
      </c>
      <c r="F179" s="30">
        <v>129</v>
      </c>
      <c r="G179" s="56">
        <f t="shared" si="22"/>
        <v>1935</v>
      </c>
      <c r="H179" s="55">
        <v>132.71</v>
      </c>
      <c r="I179" s="56">
        <f t="shared" si="28"/>
        <v>1990.65</v>
      </c>
    </row>
    <row r="180" spans="1:11" x14ac:dyDescent="0.25">
      <c r="A180" s="31" t="s">
        <v>158</v>
      </c>
      <c r="B180" s="31"/>
      <c r="C180" s="31" t="s">
        <v>454</v>
      </c>
      <c r="D180" s="78">
        <v>2</v>
      </c>
      <c r="E180" s="65" t="s">
        <v>553</v>
      </c>
      <c r="F180" s="30">
        <v>580</v>
      </c>
      <c r="G180" s="56">
        <f t="shared" si="22"/>
        <v>1160</v>
      </c>
      <c r="H180" s="55">
        <v>491.5</v>
      </c>
      <c r="I180" s="56">
        <f t="shared" si="28"/>
        <v>983</v>
      </c>
    </row>
    <row r="181" spans="1:11" x14ac:dyDescent="0.25">
      <c r="A181" s="31" t="s">
        <v>159</v>
      </c>
      <c r="B181" s="31"/>
      <c r="C181" s="31" t="s">
        <v>455</v>
      </c>
      <c r="D181" s="78">
        <v>2</v>
      </c>
      <c r="E181" s="65" t="s">
        <v>553</v>
      </c>
      <c r="F181" s="30">
        <v>580</v>
      </c>
      <c r="G181" s="56">
        <f t="shared" si="22"/>
        <v>1160</v>
      </c>
      <c r="H181" s="55">
        <v>442.35</v>
      </c>
      <c r="I181" s="56">
        <f t="shared" si="28"/>
        <v>884.7</v>
      </c>
    </row>
    <row r="182" spans="1:11" x14ac:dyDescent="0.25">
      <c r="A182" s="31" t="s">
        <v>160</v>
      </c>
      <c r="B182" s="31" t="s">
        <v>432</v>
      </c>
      <c r="C182" s="31" t="s">
        <v>456</v>
      </c>
      <c r="D182" s="78">
        <v>1</v>
      </c>
      <c r="E182" s="65" t="s">
        <v>553</v>
      </c>
      <c r="F182" s="30">
        <v>320</v>
      </c>
      <c r="G182" s="58" t="s">
        <v>561</v>
      </c>
      <c r="H182" s="55">
        <v>98.3</v>
      </c>
      <c r="I182" s="58" t="s">
        <v>561</v>
      </c>
    </row>
    <row r="183" spans="1:11" x14ac:dyDescent="0.25">
      <c r="A183" s="31" t="s">
        <v>161</v>
      </c>
      <c r="B183" s="31" t="s">
        <v>432</v>
      </c>
      <c r="C183" s="31" t="s">
        <v>457</v>
      </c>
      <c r="D183" s="78">
        <v>1</v>
      </c>
      <c r="E183" s="65" t="s">
        <v>553</v>
      </c>
      <c r="F183" s="30">
        <v>280</v>
      </c>
      <c r="G183" s="58" t="s">
        <v>561</v>
      </c>
      <c r="H183" s="55">
        <v>73.73</v>
      </c>
      <c r="I183" s="58" t="s">
        <v>561</v>
      </c>
    </row>
    <row r="184" spans="1:11" x14ac:dyDescent="0.25">
      <c r="A184" s="31" t="s">
        <v>162</v>
      </c>
      <c r="B184" s="31" t="s">
        <v>432</v>
      </c>
      <c r="C184" s="31" t="s">
        <v>458</v>
      </c>
      <c r="D184" s="78">
        <v>1</v>
      </c>
      <c r="E184" s="65" t="s">
        <v>556</v>
      </c>
      <c r="F184" s="30">
        <v>380</v>
      </c>
      <c r="G184" s="58" t="s">
        <v>561</v>
      </c>
      <c r="H184" s="55">
        <v>78.64</v>
      </c>
      <c r="I184" s="58" t="s">
        <v>561</v>
      </c>
    </row>
    <row r="185" spans="1:11" x14ac:dyDescent="0.25">
      <c r="A185" s="31" t="s">
        <v>163</v>
      </c>
      <c r="B185" s="31"/>
      <c r="C185" s="31" t="s">
        <v>459</v>
      </c>
      <c r="D185" s="78">
        <v>45</v>
      </c>
      <c r="E185" s="65" t="s">
        <v>554</v>
      </c>
      <c r="F185" s="30"/>
      <c r="G185" s="56"/>
      <c r="H185" s="55">
        <v>2.95</v>
      </c>
      <c r="I185" s="56">
        <f t="shared" ref="I185" si="29">$D185*H185</f>
        <v>132.75</v>
      </c>
    </row>
    <row r="186" spans="1:11" x14ac:dyDescent="0.25">
      <c r="A186" s="37" t="s">
        <v>589</v>
      </c>
      <c r="B186" s="31"/>
      <c r="C186" s="31" t="s">
        <v>580</v>
      </c>
      <c r="D186" s="78">
        <v>1</v>
      </c>
      <c r="E186" s="65" t="s">
        <v>572</v>
      </c>
      <c r="F186" s="30">
        <v>200</v>
      </c>
      <c r="G186" s="56">
        <f t="shared" si="22"/>
        <v>200</v>
      </c>
      <c r="H186" s="30"/>
      <c r="I186" s="56"/>
    </row>
    <row r="187" spans="1:11" s="44" customFormat="1" x14ac:dyDescent="0.25">
      <c r="A187" s="38"/>
      <c r="B187" s="38"/>
      <c r="C187" s="38" t="s">
        <v>519</v>
      </c>
      <c r="D187" s="81"/>
      <c r="E187" s="68"/>
      <c r="F187" s="39"/>
      <c r="G187" s="60"/>
      <c r="H187" s="39"/>
      <c r="I187" s="60"/>
      <c r="K187" s="111"/>
    </row>
    <row r="188" spans="1:11" x14ac:dyDescent="0.25">
      <c r="A188" s="31" t="s">
        <v>164</v>
      </c>
      <c r="B188" s="31"/>
      <c r="C188" s="31" t="s">
        <v>446</v>
      </c>
      <c r="D188" s="78">
        <v>23</v>
      </c>
      <c r="E188" s="65" t="s">
        <v>554</v>
      </c>
      <c r="F188" s="30">
        <v>2.2000000000000002</v>
      </c>
      <c r="G188" s="56">
        <f t="shared" si="22"/>
        <v>50.6</v>
      </c>
      <c r="H188" s="55">
        <v>0.98</v>
      </c>
      <c r="I188" s="56">
        <f t="shared" ref="I188:I205" si="30">$D188*H188</f>
        <v>22.54</v>
      </c>
    </row>
    <row r="189" spans="1:11" x14ac:dyDescent="0.25">
      <c r="A189" s="31" t="s">
        <v>165</v>
      </c>
      <c r="B189" s="31"/>
      <c r="C189" s="31" t="s">
        <v>447</v>
      </c>
      <c r="D189" s="78">
        <v>23</v>
      </c>
      <c r="E189" s="65" t="s">
        <v>554</v>
      </c>
      <c r="F189" s="30">
        <v>4.4000000000000004</v>
      </c>
      <c r="G189" s="56">
        <f t="shared" si="22"/>
        <v>101.2</v>
      </c>
      <c r="H189" s="55">
        <v>3.15</v>
      </c>
      <c r="I189" s="56">
        <f t="shared" si="30"/>
        <v>72.45</v>
      </c>
    </row>
    <row r="190" spans="1:11" x14ac:dyDescent="0.25">
      <c r="A190" s="31" t="s">
        <v>166</v>
      </c>
      <c r="B190" s="31"/>
      <c r="C190" s="31" t="s">
        <v>482</v>
      </c>
      <c r="D190" s="78">
        <v>25</v>
      </c>
      <c r="E190" s="65" t="s">
        <v>556</v>
      </c>
      <c r="F190" s="30">
        <v>3.8</v>
      </c>
      <c r="G190" s="56">
        <f t="shared" si="22"/>
        <v>95</v>
      </c>
      <c r="H190" s="55">
        <v>2.36</v>
      </c>
      <c r="I190" s="56">
        <f t="shared" si="30"/>
        <v>59</v>
      </c>
    </row>
    <row r="191" spans="1:11" x14ac:dyDescent="0.25">
      <c r="A191" s="31" t="s">
        <v>167</v>
      </c>
      <c r="B191" s="31"/>
      <c r="C191" s="31" t="s">
        <v>483</v>
      </c>
      <c r="D191" s="78">
        <v>23</v>
      </c>
      <c r="E191" s="65" t="s">
        <v>554</v>
      </c>
      <c r="F191" s="30">
        <v>16.899999999999999</v>
      </c>
      <c r="G191" s="56">
        <f t="shared" si="22"/>
        <v>388.7</v>
      </c>
      <c r="H191" s="55">
        <v>10.220000000000001</v>
      </c>
      <c r="I191" s="56">
        <f t="shared" si="30"/>
        <v>235.06</v>
      </c>
    </row>
    <row r="192" spans="1:11" x14ac:dyDescent="0.25">
      <c r="A192" s="31" t="s">
        <v>168</v>
      </c>
      <c r="B192" s="31"/>
      <c r="C192" s="31" t="s">
        <v>484</v>
      </c>
      <c r="D192" s="78">
        <v>25</v>
      </c>
      <c r="E192" s="65" t="s">
        <v>556</v>
      </c>
      <c r="F192" s="30">
        <v>15.1</v>
      </c>
      <c r="G192" s="56">
        <f t="shared" si="22"/>
        <v>377.5</v>
      </c>
      <c r="H192" s="55">
        <v>7.67</v>
      </c>
      <c r="I192" s="56">
        <f t="shared" si="30"/>
        <v>191.75</v>
      </c>
    </row>
    <row r="193" spans="1:9" x14ac:dyDescent="0.25">
      <c r="A193" s="31" t="s">
        <v>169</v>
      </c>
      <c r="B193" s="31"/>
      <c r="C193" s="31" t="s">
        <v>452</v>
      </c>
      <c r="D193" s="78">
        <v>25</v>
      </c>
      <c r="E193" s="65" t="s">
        <v>556</v>
      </c>
      <c r="F193" s="30">
        <v>3.2</v>
      </c>
      <c r="G193" s="56">
        <f t="shared" si="22"/>
        <v>80</v>
      </c>
      <c r="H193" s="55">
        <v>3.78</v>
      </c>
      <c r="I193" s="56">
        <f t="shared" si="30"/>
        <v>94.5</v>
      </c>
    </row>
    <row r="194" spans="1:9" x14ac:dyDescent="0.25">
      <c r="A194" s="31" t="s">
        <v>170</v>
      </c>
      <c r="B194" s="31"/>
      <c r="C194" s="31" t="s">
        <v>520</v>
      </c>
      <c r="D194" s="78">
        <v>23</v>
      </c>
      <c r="E194" s="65" t="s">
        <v>554</v>
      </c>
      <c r="F194" s="30">
        <v>52.8</v>
      </c>
      <c r="G194" s="56">
        <f t="shared" si="22"/>
        <v>1214.3999999999999</v>
      </c>
      <c r="H194" s="55">
        <v>34.479999999999997</v>
      </c>
      <c r="I194" s="56">
        <f t="shared" si="30"/>
        <v>793.04</v>
      </c>
    </row>
    <row r="195" spans="1:9" x14ac:dyDescent="0.25">
      <c r="A195" s="31" t="s">
        <v>171</v>
      </c>
      <c r="B195" s="31"/>
      <c r="C195" s="31" t="s">
        <v>494</v>
      </c>
      <c r="D195" s="78">
        <v>23</v>
      </c>
      <c r="E195" s="65" t="s">
        <v>554</v>
      </c>
      <c r="F195" s="30">
        <v>18.8</v>
      </c>
      <c r="G195" s="56">
        <f t="shared" si="22"/>
        <v>432.40000000000003</v>
      </c>
      <c r="H195" s="55">
        <v>12.58</v>
      </c>
      <c r="I195" s="56">
        <f t="shared" si="30"/>
        <v>289.33999999999997</v>
      </c>
    </row>
    <row r="196" spans="1:9" x14ac:dyDescent="0.25">
      <c r="A196" s="31" t="s">
        <v>172</v>
      </c>
      <c r="B196" s="31"/>
      <c r="C196" s="31" t="s">
        <v>496</v>
      </c>
      <c r="D196" s="78">
        <v>23</v>
      </c>
      <c r="E196" s="65" t="s">
        <v>554</v>
      </c>
      <c r="F196" s="30">
        <v>22.8</v>
      </c>
      <c r="G196" s="56">
        <f t="shared" si="22"/>
        <v>524.4</v>
      </c>
      <c r="H196" s="55">
        <v>16.12</v>
      </c>
      <c r="I196" s="56">
        <f t="shared" si="30"/>
        <v>370.76000000000005</v>
      </c>
    </row>
    <row r="197" spans="1:9" x14ac:dyDescent="0.25">
      <c r="A197" s="31" t="s">
        <v>173</v>
      </c>
      <c r="B197" s="31"/>
      <c r="C197" s="31" t="s">
        <v>487</v>
      </c>
      <c r="D197" s="78">
        <v>25</v>
      </c>
      <c r="E197" s="65" t="s">
        <v>556</v>
      </c>
      <c r="F197" s="30">
        <v>75</v>
      </c>
      <c r="G197" s="56">
        <f t="shared" si="22"/>
        <v>1875</v>
      </c>
      <c r="H197" s="55">
        <v>12.92</v>
      </c>
      <c r="I197" s="56">
        <f t="shared" si="30"/>
        <v>323</v>
      </c>
    </row>
    <row r="198" spans="1:9" x14ac:dyDescent="0.25">
      <c r="A198" s="31" t="s">
        <v>174</v>
      </c>
      <c r="B198" s="31"/>
      <c r="C198" s="31" t="s">
        <v>498</v>
      </c>
      <c r="D198" s="78">
        <v>23</v>
      </c>
      <c r="E198" s="65" t="s">
        <v>554</v>
      </c>
      <c r="F198" s="30">
        <v>26.8</v>
      </c>
      <c r="G198" s="56">
        <f t="shared" si="22"/>
        <v>616.4</v>
      </c>
      <c r="H198" s="55">
        <v>17.2</v>
      </c>
      <c r="I198" s="56">
        <f t="shared" si="30"/>
        <v>395.59999999999997</v>
      </c>
    </row>
    <row r="199" spans="1:9" x14ac:dyDescent="0.25">
      <c r="A199" s="31" t="s">
        <v>175</v>
      </c>
      <c r="B199" s="31"/>
      <c r="C199" s="31" t="s">
        <v>521</v>
      </c>
      <c r="D199" s="78">
        <v>23</v>
      </c>
      <c r="E199" s="65" t="s">
        <v>554</v>
      </c>
      <c r="F199" s="30">
        <v>18.8</v>
      </c>
      <c r="G199" s="56">
        <f t="shared" si="22"/>
        <v>432.40000000000003</v>
      </c>
      <c r="H199" s="111">
        <v>4.72</v>
      </c>
      <c r="I199" s="56">
        <f t="shared" si="30"/>
        <v>108.55999999999999</v>
      </c>
    </row>
    <row r="200" spans="1:9" x14ac:dyDescent="0.25">
      <c r="A200" s="31" t="s">
        <v>176</v>
      </c>
      <c r="B200" s="31"/>
      <c r="C200" s="31" t="s">
        <v>511</v>
      </c>
      <c r="D200" s="78">
        <v>23</v>
      </c>
      <c r="E200" s="65" t="s">
        <v>554</v>
      </c>
      <c r="F200" s="30">
        <v>128.80000000000001</v>
      </c>
      <c r="G200" s="56">
        <f t="shared" si="22"/>
        <v>2962.4</v>
      </c>
      <c r="H200" s="55">
        <v>88.47</v>
      </c>
      <c r="I200" s="56">
        <f t="shared" si="30"/>
        <v>2034.81</v>
      </c>
    </row>
    <row r="201" spans="1:9" x14ac:dyDescent="0.25">
      <c r="A201" s="31" t="s">
        <v>177</v>
      </c>
      <c r="B201" s="31"/>
      <c r="C201" s="31" t="s">
        <v>477</v>
      </c>
      <c r="D201" s="78">
        <v>13</v>
      </c>
      <c r="E201" s="65" t="s">
        <v>556</v>
      </c>
      <c r="F201" s="30">
        <v>6.8</v>
      </c>
      <c r="G201" s="56">
        <f t="shared" si="22"/>
        <v>88.399999999999991</v>
      </c>
      <c r="H201" s="55">
        <v>21.77</v>
      </c>
      <c r="I201" s="56">
        <f t="shared" si="30"/>
        <v>283.01</v>
      </c>
    </row>
    <row r="202" spans="1:9" x14ac:dyDescent="0.25">
      <c r="A202" s="31" t="s">
        <v>178</v>
      </c>
      <c r="B202" s="31"/>
      <c r="C202" s="31" t="s">
        <v>478</v>
      </c>
      <c r="D202" s="78">
        <v>8</v>
      </c>
      <c r="E202" s="65" t="s">
        <v>556</v>
      </c>
      <c r="F202" s="30">
        <v>85</v>
      </c>
      <c r="G202" s="56">
        <f t="shared" si="22"/>
        <v>680</v>
      </c>
      <c r="H202" s="55">
        <v>59.47</v>
      </c>
      <c r="I202" s="56">
        <f t="shared" si="30"/>
        <v>475.76</v>
      </c>
    </row>
    <row r="203" spans="1:9" x14ac:dyDescent="0.25">
      <c r="A203" s="31" t="s">
        <v>179</v>
      </c>
      <c r="B203" s="31"/>
      <c r="C203" s="31" t="s">
        <v>479</v>
      </c>
      <c r="D203" s="78">
        <v>8</v>
      </c>
      <c r="E203" s="65" t="s">
        <v>556</v>
      </c>
      <c r="F203" s="30">
        <v>129</v>
      </c>
      <c r="G203" s="56">
        <f t="shared" si="22"/>
        <v>1032</v>
      </c>
      <c r="H203" s="55">
        <v>132.71</v>
      </c>
      <c r="I203" s="56">
        <f t="shared" si="30"/>
        <v>1061.68</v>
      </c>
    </row>
    <row r="204" spans="1:9" x14ac:dyDescent="0.25">
      <c r="A204" s="31" t="s">
        <v>180</v>
      </c>
      <c r="B204" s="31"/>
      <c r="C204" s="31" t="s">
        <v>454</v>
      </c>
      <c r="D204" s="78">
        <v>1</v>
      </c>
      <c r="E204" s="65" t="s">
        <v>553</v>
      </c>
      <c r="F204" s="30">
        <v>580</v>
      </c>
      <c r="G204" s="56">
        <f t="shared" si="22"/>
        <v>580</v>
      </c>
      <c r="H204" s="55">
        <v>491.5</v>
      </c>
      <c r="I204" s="56">
        <f t="shared" si="30"/>
        <v>491.5</v>
      </c>
    </row>
    <row r="205" spans="1:9" x14ac:dyDescent="0.25">
      <c r="A205" s="31" t="s">
        <v>181</v>
      </c>
      <c r="B205" s="31"/>
      <c r="C205" s="31" t="s">
        <v>455</v>
      </c>
      <c r="D205" s="78">
        <v>1</v>
      </c>
      <c r="E205" s="65" t="s">
        <v>553</v>
      </c>
      <c r="F205" s="30">
        <v>580</v>
      </c>
      <c r="G205" s="56">
        <f t="shared" si="22"/>
        <v>580</v>
      </c>
      <c r="H205" s="55">
        <v>442.35</v>
      </c>
      <c r="I205" s="56">
        <f t="shared" si="30"/>
        <v>442.35</v>
      </c>
    </row>
    <row r="206" spans="1:9" x14ac:dyDescent="0.25">
      <c r="A206" s="31" t="s">
        <v>182</v>
      </c>
      <c r="B206" s="31" t="s">
        <v>432</v>
      </c>
      <c r="C206" s="31" t="s">
        <v>456</v>
      </c>
      <c r="D206" s="78">
        <v>0</v>
      </c>
      <c r="E206" s="65" t="s">
        <v>553</v>
      </c>
      <c r="F206" s="30">
        <v>320</v>
      </c>
      <c r="G206" s="58" t="s">
        <v>561</v>
      </c>
      <c r="H206" s="55">
        <v>98.3</v>
      </c>
      <c r="I206" s="58" t="s">
        <v>561</v>
      </c>
    </row>
    <row r="207" spans="1:9" x14ac:dyDescent="0.25">
      <c r="A207" s="31" t="s">
        <v>183</v>
      </c>
      <c r="B207" s="31" t="s">
        <v>432</v>
      </c>
      <c r="C207" s="31" t="s">
        <v>457</v>
      </c>
      <c r="D207" s="78">
        <v>0</v>
      </c>
      <c r="E207" s="65" t="s">
        <v>553</v>
      </c>
      <c r="F207" s="30">
        <v>280</v>
      </c>
      <c r="G207" s="58" t="s">
        <v>561</v>
      </c>
      <c r="H207" s="55">
        <v>73.73</v>
      </c>
      <c r="I207" s="58" t="s">
        <v>561</v>
      </c>
    </row>
    <row r="208" spans="1:9" x14ac:dyDescent="0.25">
      <c r="A208" s="31" t="s">
        <v>184</v>
      </c>
      <c r="B208" s="31" t="s">
        <v>432</v>
      </c>
      <c r="C208" s="31" t="s">
        <v>458</v>
      </c>
      <c r="D208" s="78">
        <v>0</v>
      </c>
      <c r="E208" s="65" t="s">
        <v>556</v>
      </c>
      <c r="F208" s="30">
        <v>380</v>
      </c>
      <c r="G208" s="58" t="s">
        <v>561</v>
      </c>
      <c r="H208" s="55">
        <v>78.64</v>
      </c>
      <c r="I208" s="58" t="s">
        <v>561</v>
      </c>
    </row>
    <row r="209" spans="1:9" x14ac:dyDescent="0.25">
      <c r="A209" s="31" t="s">
        <v>185</v>
      </c>
      <c r="B209" s="31"/>
      <c r="C209" s="31" t="s">
        <v>459</v>
      </c>
      <c r="D209" s="78">
        <v>23</v>
      </c>
      <c r="E209" s="65" t="s">
        <v>554</v>
      </c>
      <c r="F209" s="30"/>
      <c r="G209" s="56"/>
      <c r="H209" s="55">
        <v>2.95</v>
      </c>
      <c r="I209" s="56">
        <f t="shared" ref="I209" si="31">$D209*H209</f>
        <v>67.850000000000009</v>
      </c>
    </row>
    <row r="210" spans="1:9" x14ac:dyDescent="0.25">
      <c r="A210" s="37" t="s">
        <v>590</v>
      </c>
      <c r="B210" s="31"/>
      <c r="C210" s="31" t="s">
        <v>580</v>
      </c>
      <c r="D210" s="78">
        <v>1</v>
      </c>
      <c r="E210" s="65" t="s">
        <v>572</v>
      </c>
      <c r="F210" s="30">
        <v>150</v>
      </c>
      <c r="G210" s="56">
        <f t="shared" si="22"/>
        <v>150</v>
      </c>
      <c r="H210" s="30"/>
      <c r="I210" s="56"/>
    </row>
    <row r="211" spans="1:9" x14ac:dyDescent="0.25">
      <c r="A211" s="32" t="s">
        <v>145</v>
      </c>
      <c r="B211" s="32"/>
      <c r="C211" s="32" t="s">
        <v>514</v>
      </c>
      <c r="D211" s="79"/>
      <c r="E211" s="66"/>
      <c r="F211" s="33"/>
      <c r="G211" s="57">
        <f>SUM(G165:G210)</f>
        <v>32315.80000000001</v>
      </c>
      <c r="H211" s="33"/>
      <c r="I211" s="57">
        <f>SUM(I165:I210)</f>
        <v>22609.359999999993</v>
      </c>
    </row>
    <row r="212" spans="1:9" x14ac:dyDescent="0.25">
      <c r="A212" s="31"/>
      <c r="B212" s="31"/>
      <c r="C212" s="31"/>
      <c r="D212" s="78"/>
      <c r="E212" s="65"/>
      <c r="F212" s="30"/>
      <c r="G212" s="56"/>
      <c r="H212" s="30"/>
      <c r="I212" s="56"/>
    </row>
    <row r="213" spans="1:9" x14ac:dyDescent="0.25">
      <c r="A213" s="31" t="s">
        <v>187</v>
      </c>
      <c r="B213" s="31" t="s">
        <v>432</v>
      </c>
      <c r="C213" s="31" t="s">
        <v>446</v>
      </c>
      <c r="D213" s="78">
        <v>0</v>
      </c>
      <c r="E213" s="65" t="s">
        <v>554</v>
      </c>
      <c r="F213" s="30">
        <v>2.2000000000000002</v>
      </c>
      <c r="G213" s="58" t="s">
        <v>561</v>
      </c>
      <c r="H213" s="55">
        <v>0.98</v>
      </c>
      <c r="I213" s="58" t="s">
        <v>561</v>
      </c>
    </row>
    <row r="214" spans="1:9" x14ac:dyDescent="0.25">
      <c r="A214" s="31" t="s">
        <v>188</v>
      </c>
      <c r="B214" s="31" t="s">
        <v>432</v>
      </c>
      <c r="C214" s="31" t="s">
        <v>447</v>
      </c>
      <c r="D214" s="78">
        <v>0</v>
      </c>
      <c r="E214" s="65" t="s">
        <v>554</v>
      </c>
      <c r="F214" s="30">
        <v>4.4000000000000004</v>
      </c>
      <c r="G214" s="58" t="s">
        <v>561</v>
      </c>
      <c r="H214" s="55">
        <v>3.15</v>
      </c>
      <c r="I214" s="58" t="s">
        <v>561</v>
      </c>
    </row>
    <row r="215" spans="1:9" x14ac:dyDescent="0.25">
      <c r="A215" s="31" t="s">
        <v>189</v>
      </c>
      <c r="B215" s="31" t="s">
        <v>432</v>
      </c>
      <c r="C215" s="31" t="s">
        <v>449</v>
      </c>
      <c r="D215" s="78">
        <v>0</v>
      </c>
      <c r="E215" s="65" t="s">
        <v>554</v>
      </c>
      <c r="F215" s="30">
        <v>22.5</v>
      </c>
      <c r="G215" s="58" t="s">
        <v>561</v>
      </c>
      <c r="H215" s="55">
        <v>16.22</v>
      </c>
      <c r="I215" s="58" t="s">
        <v>561</v>
      </c>
    </row>
    <row r="216" spans="1:9" x14ac:dyDescent="0.25">
      <c r="A216" s="31" t="s">
        <v>190</v>
      </c>
      <c r="B216" s="31" t="s">
        <v>432</v>
      </c>
      <c r="C216" s="31" t="s">
        <v>450</v>
      </c>
      <c r="D216" s="78">
        <v>0</v>
      </c>
      <c r="E216" s="65" t="s">
        <v>554</v>
      </c>
      <c r="F216" s="30">
        <v>24.5</v>
      </c>
      <c r="G216" s="58" t="s">
        <v>561</v>
      </c>
      <c r="H216" s="55">
        <v>17.2</v>
      </c>
      <c r="I216" s="58" t="s">
        <v>561</v>
      </c>
    </row>
    <row r="217" spans="1:9" x14ac:dyDescent="0.25">
      <c r="A217" s="31" t="s">
        <v>191</v>
      </c>
      <c r="B217" s="31" t="s">
        <v>432</v>
      </c>
      <c r="C217" s="31" t="s">
        <v>521</v>
      </c>
      <c r="D217" s="78">
        <v>0</v>
      </c>
      <c r="E217" s="65" t="s">
        <v>554</v>
      </c>
      <c r="F217" s="30">
        <v>18.8</v>
      </c>
      <c r="G217" s="58" t="s">
        <v>561</v>
      </c>
      <c r="H217" s="55">
        <v>4.72</v>
      </c>
      <c r="I217" s="58" t="s">
        <v>561</v>
      </c>
    </row>
    <row r="218" spans="1:9" x14ac:dyDescent="0.25">
      <c r="A218" s="31" t="s">
        <v>192</v>
      </c>
      <c r="B218" s="31" t="s">
        <v>432</v>
      </c>
      <c r="C218" s="31" t="s">
        <v>503</v>
      </c>
      <c r="D218" s="78">
        <v>0</v>
      </c>
      <c r="E218" s="65" t="s">
        <v>554</v>
      </c>
      <c r="F218" s="30">
        <v>128.9</v>
      </c>
      <c r="G218" s="58" t="s">
        <v>561</v>
      </c>
      <c r="H218" s="55">
        <v>88.47</v>
      </c>
      <c r="I218" s="58" t="s">
        <v>561</v>
      </c>
    </row>
    <row r="219" spans="1:9" x14ac:dyDescent="0.25">
      <c r="A219" s="31" t="s">
        <v>193</v>
      </c>
      <c r="B219" s="31" t="s">
        <v>432</v>
      </c>
      <c r="C219" s="31" t="s">
        <v>477</v>
      </c>
      <c r="D219" s="78">
        <v>0</v>
      </c>
      <c r="E219" s="65" t="s">
        <v>556</v>
      </c>
      <c r="F219" s="30">
        <v>6.8</v>
      </c>
      <c r="G219" s="58" t="s">
        <v>561</v>
      </c>
      <c r="H219" s="55">
        <v>21.77</v>
      </c>
      <c r="I219" s="58" t="s">
        <v>561</v>
      </c>
    </row>
    <row r="220" spans="1:9" x14ac:dyDescent="0.25">
      <c r="A220" s="31" t="s">
        <v>194</v>
      </c>
      <c r="B220" s="31" t="s">
        <v>432</v>
      </c>
      <c r="C220" s="31" t="s">
        <v>523</v>
      </c>
      <c r="D220" s="78">
        <v>0</v>
      </c>
      <c r="E220" s="65" t="s">
        <v>556</v>
      </c>
      <c r="F220" s="30">
        <v>85</v>
      </c>
      <c r="G220" s="58" t="s">
        <v>561</v>
      </c>
      <c r="H220" s="55">
        <v>59.47</v>
      </c>
      <c r="I220" s="58" t="s">
        <v>561</v>
      </c>
    </row>
    <row r="221" spans="1:9" x14ac:dyDescent="0.25">
      <c r="A221" s="32" t="s">
        <v>186</v>
      </c>
      <c r="B221" s="32"/>
      <c r="C221" s="32" t="s">
        <v>522</v>
      </c>
      <c r="D221" s="79"/>
      <c r="E221" s="66"/>
      <c r="F221" s="33"/>
      <c r="G221" s="57">
        <f>SUM(G213:G220)</f>
        <v>0</v>
      </c>
      <c r="H221" s="33"/>
      <c r="I221" s="57">
        <f>SUM(I213:I220)</f>
        <v>0</v>
      </c>
    </row>
    <row r="222" spans="1:9" x14ac:dyDescent="0.25">
      <c r="A222" s="31"/>
      <c r="B222" s="31"/>
      <c r="C222" s="31"/>
      <c r="D222" s="78"/>
      <c r="E222" s="65"/>
      <c r="F222" s="30"/>
      <c r="G222" s="56"/>
      <c r="H222" s="30"/>
      <c r="I222" s="56"/>
    </row>
    <row r="223" spans="1:9" x14ac:dyDescent="0.25">
      <c r="A223" s="31" t="s">
        <v>196</v>
      </c>
      <c r="B223" s="31"/>
      <c r="C223" s="31" t="s">
        <v>525</v>
      </c>
      <c r="D223" s="78">
        <v>492</v>
      </c>
      <c r="E223" s="65" t="s">
        <v>556</v>
      </c>
      <c r="F223" s="30">
        <v>75.8</v>
      </c>
      <c r="G223" s="56">
        <f t="shared" ref="G223:G284" si="32">$D223*F223</f>
        <v>37293.599999999999</v>
      </c>
      <c r="H223" s="55">
        <v>78.05</v>
      </c>
      <c r="I223" s="56">
        <f t="shared" ref="I223:I230" si="33">$D223*H223</f>
        <v>38400.6</v>
      </c>
    </row>
    <row r="224" spans="1:9" x14ac:dyDescent="0.25">
      <c r="A224" s="31" t="s">
        <v>197</v>
      </c>
      <c r="B224" s="31"/>
      <c r="C224" s="31" t="s">
        <v>526</v>
      </c>
      <c r="D224" s="78">
        <v>44</v>
      </c>
      <c r="E224" s="65" t="s">
        <v>553</v>
      </c>
      <c r="F224" s="30">
        <v>65</v>
      </c>
      <c r="G224" s="56">
        <f t="shared" si="32"/>
        <v>2860</v>
      </c>
      <c r="H224" s="55">
        <v>39.119999999999997</v>
      </c>
      <c r="I224" s="56">
        <f t="shared" si="33"/>
        <v>1721.28</v>
      </c>
    </row>
    <row r="225" spans="1:9" x14ac:dyDescent="0.25">
      <c r="A225" s="31" t="s">
        <v>198</v>
      </c>
      <c r="B225" s="31"/>
      <c r="C225" s="31" t="s">
        <v>527</v>
      </c>
      <c r="D225" s="78">
        <v>3</v>
      </c>
      <c r="E225" s="65" t="s">
        <v>553</v>
      </c>
      <c r="F225" s="30">
        <v>85.2</v>
      </c>
      <c r="G225" s="56">
        <f t="shared" si="32"/>
        <v>255.60000000000002</v>
      </c>
      <c r="H225" s="55">
        <v>73.819999999999993</v>
      </c>
      <c r="I225" s="56">
        <f t="shared" si="33"/>
        <v>221.45999999999998</v>
      </c>
    </row>
    <row r="226" spans="1:9" x14ac:dyDescent="0.25">
      <c r="A226" s="31" t="s">
        <v>199</v>
      </c>
      <c r="B226" s="31"/>
      <c r="C226" s="31" t="s">
        <v>528</v>
      </c>
      <c r="D226" s="78">
        <v>3</v>
      </c>
      <c r="E226" s="65" t="s">
        <v>553</v>
      </c>
      <c r="F226" s="30"/>
      <c r="G226" s="89" t="s">
        <v>618</v>
      </c>
      <c r="H226" s="55">
        <v>35.78</v>
      </c>
      <c r="I226" s="56">
        <f t="shared" si="33"/>
        <v>107.34</v>
      </c>
    </row>
    <row r="227" spans="1:9" x14ac:dyDescent="0.25">
      <c r="A227" s="31" t="s">
        <v>200</v>
      </c>
      <c r="B227" s="31"/>
      <c r="C227" s="31" t="s">
        <v>529</v>
      </c>
      <c r="D227" s="78">
        <v>19</v>
      </c>
      <c r="E227" s="65" t="s">
        <v>553</v>
      </c>
      <c r="F227" s="30">
        <v>320</v>
      </c>
      <c r="G227" s="56">
        <f t="shared" si="32"/>
        <v>6080</v>
      </c>
      <c r="H227" s="55">
        <v>324.39</v>
      </c>
      <c r="I227" s="56">
        <f t="shared" ref="I227:I228" si="34">$D227*H227</f>
        <v>6163.41</v>
      </c>
    </row>
    <row r="228" spans="1:9" x14ac:dyDescent="0.25">
      <c r="A228" s="31" t="s">
        <v>201</v>
      </c>
      <c r="B228" s="31"/>
      <c r="C228" s="31" t="s">
        <v>530</v>
      </c>
      <c r="D228" s="78">
        <v>19</v>
      </c>
      <c r="E228" s="65" t="s">
        <v>553</v>
      </c>
      <c r="F228" s="30">
        <v>99.8</v>
      </c>
      <c r="G228" s="56">
        <f t="shared" si="32"/>
        <v>1896.2</v>
      </c>
      <c r="H228" s="55">
        <v>73.53</v>
      </c>
      <c r="I228" s="56">
        <f t="shared" si="34"/>
        <v>1397.07</v>
      </c>
    </row>
    <row r="229" spans="1:9" x14ac:dyDescent="0.25">
      <c r="A229" s="31" t="s">
        <v>202</v>
      </c>
      <c r="B229" s="31"/>
      <c r="C229" s="31" t="s">
        <v>531</v>
      </c>
      <c r="D229" s="78">
        <v>63</v>
      </c>
      <c r="E229" s="65" t="s">
        <v>556</v>
      </c>
      <c r="F229" s="30"/>
      <c r="G229" s="89" t="s">
        <v>618</v>
      </c>
      <c r="H229" s="55">
        <v>98.3</v>
      </c>
      <c r="I229" s="56">
        <f t="shared" si="33"/>
        <v>6192.9</v>
      </c>
    </row>
    <row r="230" spans="1:9" x14ac:dyDescent="0.25">
      <c r="A230" s="31" t="s">
        <v>203</v>
      </c>
      <c r="B230" s="31"/>
      <c r="C230" s="31" t="s">
        <v>532</v>
      </c>
      <c r="D230" s="78">
        <v>5</v>
      </c>
      <c r="E230" s="65" t="s">
        <v>553</v>
      </c>
      <c r="F230" s="30"/>
      <c r="G230" s="89" t="s">
        <v>618</v>
      </c>
      <c r="H230" s="55">
        <v>152.94999999999999</v>
      </c>
      <c r="I230" s="56">
        <f t="shared" si="33"/>
        <v>764.75</v>
      </c>
    </row>
    <row r="231" spans="1:9" x14ac:dyDescent="0.25">
      <c r="A231" s="32" t="s">
        <v>195</v>
      </c>
      <c r="B231" s="32"/>
      <c r="C231" s="32" t="s">
        <v>524</v>
      </c>
      <c r="D231" s="79"/>
      <c r="E231" s="66"/>
      <c r="F231" s="33"/>
      <c r="G231" s="57">
        <f>SUM(G223:G230)</f>
        <v>48385.399999999994</v>
      </c>
      <c r="H231" s="33"/>
      <c r="I231" s="57">
        <f>SUM(I223:I230)</f>
        <v>54968.81</v>
      </c>
    </row>
    <row r="232" spans="1:9" x14ac:dyDescent="0.25">
      <c r="A232" s="31"/>
      <c r="B232" s="31"/>
      <c r="C232" s="31"/>
      <c r="D232" s="78"/>
      <c r="E232" s="65"/>
      <c r="F232" s="30"/>
      <c r="G232" s="56"/>
      <c r="H232" s="30"/>
      <c r="I232" s="56"/>
    </row>
    <row r="233" spans="1:9" x14ac:dyDescent="0.25">
      <c r="A233" s="31" t="s">
        <v>205</v>
      </c>
      <c r="B233" s="31" t="s">
        <v>432</v>
      </c>
      <c r="C233" s="31" t="s">
        <v>534</v>
      </c>
      <c r="D233" s="78">
        <v>225</v>
      </c>
      <c r="E233" s="65" t="s">
        <v>556</v>
      </c>
      <c r="F233" s="30">
        <v>19.899999999999999</v>
      </c>
      <c r="G233" s="58" t="s">
        <v>561</v>
      </c>
      <c r="H233" s="55">
        <v>20.64</v>
      </c>
      <c r="I233" s="58" t="s">
        <v>561</v>
      </c>
    </row>
    <row r="234" spans="1:9" x14ac:dyDescent="0.25">
      <c r="A234" s="31" t="s">
        <v>206</v>
      </c>
      <c r="B234" s="31" t="s">
        <v>432</v>
      </c>
      <c r="C234" s="31" t="s">
        <v>535</v>
      </c>
      <c r="D234" s="78">
        <v>225</v>
      </c>
      <c r="E234" s="65" t="s">
        <v>556</v>
      </c>
      <c r="F234" s="30">
        <v>29.9</v>
      </c>
      <c r="G234" s="58" t="s">
        <v>561</v>
      </c>
      <c r="H234" s="55">
        <v>14.75</v>
      </c>
      <c r="I234" s="58" t="s">
        <v>561</v>
      </c>
    </row>
    <row r="235" spans="1:9" x14ac:dyDescent="0.25">
      <c r="A235" s="31" t="s">
        <v>207</v>
      </c>
      <c r="B235" s="31" t="s">
        <v>432</v>
      </c>
      <c r="C235" s="31" t="s">
        <v>536</v>
      </c>
      <c r="D235" s="78">
        <v>225</v>
      </c>
      <c r="E235" s="65" t="s">
        <v>556</v>
      </c>
      <c r="F235" s="30">
        <v>142.80000000000001</v>
      </c>
      <c r="G235" s="58" t="s">
        <v>561</v>
      </c>
      <c r="H235" s="55">
        <v>108.13</v>
      </c>
      <c r="I235" s="58" t="s">
        <v>561</v>
      </c>
    </row>
    <row r="236" spans="1:9" x14ac:dyDescent="0.25">
      <c r="A236" s="31" t="s">
        <v>208</v>
      </c>
      <c r="B236" s="31" t="s">
        <v>432</v>
      </c>
      <c r="C236" s="31" t="s">
        <v>537</v>
      </c>
      <c r="D236" s="78">
        <v>13</v>
      </c>
      <c r="E236" s="65" t="s">
        <v>553</v>
      </c>
      <c r="F236" s="30">
        <v>99.8</v>
      </c>
      <c r="G236" s="58" t="s">
        <v>561</v>
      </c>
      <c r="H236" s="55">
        <v>88.47</v>
      </c>
      <c r="I236" s="58" t="s">
        <v>561</v>
      </c>
    </row>
    <row r="237" spans="1:9" x14ac:dyDescent="0.25">
      <c r="A237" s="32" t="s">
        <v>204</v>
      </c>
      <c r="B237" s="32"/>
      <c r="C237" s="32" t="s">
        <v>533</v>
      </c>
      <c r="D237" s="79"/>
      <c r="E237" s="66"/>
      <c r="F237" s="33"/>
      <c r="G237" s="57">
        <f>SUM(G233:G236)</f>
        <v>0</v>
      </c>
      <c r="H237" s="33"/>
      <c r="I237" s="57">
        <f>SUM(I233:I236)</f>
        <v>0</v>
      </c>
    </row>
    <row r="238" spans="1:9" x14ac:dyDescent="0.25">
      <c r="A238" s="31"/>
      <c r="B238" s="31"/>
      <c r="C238" s="31"/>
      <c r="D238" s="78"/>
      <c r="E238" s="65"/>
      <c r="F238" s="30"/>
      <c r="G238" s="56"/>
      <c r="H238" s="30"/>
      <c r="I238" s="56"/>
    </row>
    <row r="239" spans="1:9" x14ac:dyDescent="0.25">
      <c r="A239" s="31" t="s">
        <v>210</v>
      </c>
      <c r="B239" s="31"/>
      <c r="C239" s="31" t="s">
        <v>539</v>
      </c>
      <c r="D239" s="78">
        <v>3</v>
      </c>
      <c r="E239" s="65" t="s">
        <v>553</v>
      </c>
      <c r="F239" s="30">
        <v>3995</v>
      </c>
      <c r="G239" s="56">
        <f t="shared" si="32"/>
        <v>11985</v>
      </c>
      <c r="H239" s="55">
        <v>2604.9499999999998</v>
      </c>
      <c r="I239" s="56">
        <f t="shared" ref="I239" si="35">$D239*H239</f>
        <v>7814.8499999999995</v>
      </c>
    </row>
    <row r="240" spans="1:9" x14ac:dyDescent="0.25">
      <c r="A240" s="32" t="s">
        <v>209</v>
      </c>
      <c r="B240" s="32"/>
      <c r="C240" s="32" t="s">
        <v>538</v>
      </c>
      <c r="D240" s="79"/>
      <c r="E240" s="66"/>
      <c r="F240" s="33"/>
      <c r="G240" s="57">
        <f>SUM(G239)</f>
        <v>11985</v>
      </c>
      <c r="H240" s="33"/>
      <c r="I240" s="57">
        <f>SUM(I239)</f>
        <v>7814.8499999999995</v>
      </c>
    </row>
    <row r="241" spans="1:11" x14ac:dyDescent="0.25">
      <c r="A241" s="31"/>
      <c r="B241" s="31"/>
      <c r="C241" s="31"/>
      <c r="D241" s="78"/>
      <c r="E241" s="65"/>
      <c r="F241" s="30"/>
      <c r="G241" s="56"/>
      <c r="H241" s="30"/>
      <c r="I241" s="56"/>
    </row>
    <row r="242" spans="1:11" x14ac:dyDescent="0.25">
      <c r="A242" s="92" t="s">
        <v>211</v>
      </c>
      <c r="B242" s="92"/>
      <c r="C242" s="92" t="s">
        <v>540</v>
      </c>
      <c r="D242" s="93"/>
      <c r="E242" s="94"/>
      <c r="F242" s="95"/>
      <c r="G242" s="96"/>
      <c r="H242" s="95"/>
      <c r="I242" s="96"/>
    </row>
    <row r="243" spans="1:11" s="36" customFormat="1" x14ac:dyDescent="0.25">
      <c r="A243" s="34"/>
      <c r="B243" s="34"/>
      <c r="C243" s="34" t="s">
        <v>445</v>
      </c>
      <c r="D243" s="80"/>
      <c r="E243" s="67"/>
      <c r="F243" s="35"/>
      <c r="G243" s="59"/>
      <c r="H243" s="35"/>
      <c r="I243" s="59"/>
      <c r="K243" s="110"/>
    </row>
    <row r="244" spans="1:11" x14ac:dyDescent="0.25">
      <c r="A244" s="31" t="s">
        <v>213</v>
      </c>
      <c r="B244" s="31"/>
      <c r="C244" s="31" t="s">
        <v>446</v>
      </c>
      <c r="D244" s="78">
        <v>2015</v>
      </c>
      <c r="E244" s="65" t="s">
        <v>554</v>
      </c>
      <c r="F244" s="30">
        <v>1.2</v>
      </c>
      <c r="G244" s="56">
        <f t="shared" si="32"/>
        <v>2418</v>
      </c>
      <c r="H244" s="55">
        <v>0.84</v>
      </c>
      <c r="I244" s="56">
        <f t="shared" ref="I244:I247" si="36">$D244*H244</f>
        <v>1692.6</v>
      </c>
    </row>
    <row r="245" spans="1:11" x14ac:dyDescent="0.25">
      <c r="A245" s="31" t="s">
        <v>214</v>
      </c>
      <c r="B245" s="31"/>
      <c r="C245" s="31" t="s">
        <v>447</v>
      </c>
      <c r="D245" s="78">
        <v>2015</v>
      </c>
      <c r="E245" s="65" t="s">
        <v>554</v>
      </c>
      <c r="F245" s="30">
        <v>2.9</v>
      </c>
      <c r="G245" s="56">
        <f t="shared" si="32"/>
        <v>5843.5</v>
      </c>
      <c r="H245" s="55">
        <v>3.15</v>
      </c>
      <c r="I245" s="56">
        <f t="shared" si="36"/>
        <v>6347.25</v>
      </c>
    </row>
    <row r="246" spans="1:11" x14ac:dyDescent="0.25">
      <c r="A246" s="31" t="s">
        <v>215</v>
      </c>
      <c r="B246" s="31"/>
      <c r="C246" s="31" t="s">
        <v>448</v>
      </c>
      <c r="D246" s="78">
        <v>342</v>
      </c>
      <c r="E246" s="65" t="s">
        <v>556</v>
      </c>
      <c r="F246" s="30">
        <v>2.4</v>
      </c>
      <c r="G246" s="56">
        <f t="shared" si="32"/>
        <v>820.8</v>
      </c>
      <c r="H246" s="55">
        <v>2.83</v>
      </c>
      <c r="I246" s="56">
        <f t="shared" si="36"/>
        <v>967.86</v>
      </c>
    </row>
    <row r="247" spans="1:11" x14ac:dyDescent="0.25">
      <c r="A247" s="31" t="s">
        <v>216</v>
      </c>
      <c r="B247" s="31"/>
      <c r="C247" s="31" t="s">
        <v>449</v>
      </c>
      <c r="D247" s="78">
        <v>2015</v>
      </c>
      <c r="E247" s="65" t="s">
        <v>554</v>
      </c>
      <c r="F247" s="30">
        <v>18.899999999999999</v>
      </c>
      <c r="G247" s="56">
        <f t="shared" si="32"/>
        <v>38083.5</v>
      </c>
      <c r="H247" s="55">
        <v>16.22</v>
      </c>
      <c r="I247" s="56">
        <f t="shared" si="36"/>
        <v>32683.3</v>
      </c>
    </row>
    <row r="248" spans="1:11" x14ac:dyDescent="0.25">
      <c r="A248" s="37" t="s">
        <v>591</v>
      </c>
      <c r="B248" s="31"/>
      <c r="C248" s="31" t="s">
        <v>564</v>
      </c>
      <c r="D248" s="78">
        <v>2015</v>
      </c>
      <c r="E248" s="65" t="s">
        <v>554</v>
      </c>
      <c r="F248" s="30">
        <v>20.8</v>
      </c>
      <c r="G248" s="58" t="s">
        <v>561</v>
      </c>
      <c r="H248" s="30"/>
      <c r="I248" s="58"/>
    </row>
    <row r="249" spans="1:11" x14ac:dyDescent="0.25">
      <c r="A249" s="31" t="s">
        <v>217</v>
      </c>
      <c r="B249" s="31"/>
      <c r="C249" s="31" t="s">
        <v>450</v>
      </c>
      <c r="D249" s="78">
        <v>2015</v>
      </c>
      <c r="E249" s="65" t="s">
        <v>554</v>
      </c>
      <c r="F249" s="30">
        <v>19.899999999999999</v>
      </c>
      <c r="G249" s="56">
        <f t="shared" si="32"/>
        <v>40098.5</v>
      </c>
      <c r="H249" s="55">
        <v>17.2</v>
      </c>
      <c r="I249" s="56">
        <f t="shared" ref="I249" si="37">$D249*H249</f>
        <v>34658</v>
      </c>
    </row>
    <row r="250" spans="1:11" x14ac:dyDescent="0.25">
      <c r="A250" s="37" t="s">
        <v>592</v>
      </c>
      <c r="B250" s="31"/>
      <c r="C250" s="31" t="s">
        <v>564</v>
      </c>
      <c r="D250" s="78">
        <v>2015</v>
      </c>
      <c r="E250" s="65" t="s">
        <v>554</v>
      </c>
      <c r="F250" s="30">
        <v>21.5</v>
      </c>
      <c r="G250" s="58" t="s">
        <v>561</v>
      </c>
      <c r="H250" s="30"/>
      <c r="I250" s="58"/>
    </row>
    <row r="251" spans="1:11" x14ac:dyDescent="0.25">
      <c r="A251" s="31" t="s">
        <v>218</v>
      </c>
      <c r="B251" s="31"/>
      <c r="C251" s="31" t="s">
        <v>451</v>
      </c>
      <c r="D251" s="78">
        <v>342</v>
      </c>
      <c r="E251" s="65" t="s">
        <v>556</v>
      </c>
      <c r="F251" s="30">
        <v>65</v>
      </c>
      <c r="G251" s="56">
        <f t="shared" si="32"/>
        <v>22230</v>
      </c>
      <c r="H251" s="55">
        <v>30.08</v>
      </c>
      <c r="I251" s="56">
        <f t="shared" ref="I251:I253" si="38">$D251*H251</f>
        <v>10287.359999999999</v>
      </c>
    </row>
    <row r="252" spans="1:11" x14ac:dyDescent="0.25">
      <c r="A252" s="37" t="s">
        <v>593</v>
      </c>
      <c r="B252" s="31"/>
      <c r="C252" s="31" t="s">
        <v>567</v>
      </c>
      <c r="D252" s="78">
        <v>342</v>
      </c>
      <c r="E252" s="65" t="s">
        <v>556</v>
      </c>
      <c r="F252" s="30">
        <v>99</v>
      </c>
      <c r="G252" s="58" t="s">
        <v>561</v>
      </c>
      <c r="H252" s="30"/>
      <c r="I252" s="58"/>
    </row>
    <row r="253" spans="1:11" x14ac:dyDescent="0.25">
      <c r="A253" s="31" t="s">
        <v>219</v>
      </c>
      <c r="B253" s="31"/>
      <c r="C253" s="31" t="s">
        <v>452</v>
      </c>
      <c r="D253" s="78">
        <v>342</v>
      </c>
      <c r="E253" s="65" t="s">
        <v>556</v>
      </c>
      <c r="F253" s="30" t="s">
        <v>594</v>
      </c>
      <c r="G253" s="56"/>
      <c r="H253" s="55">
        <v>3.78</v>
      </c>
      <c r="I253" s="56">
        <f t="shared" si="38"/>
        <v>1292.76</v>
      </c>
    </row>
    <row r="254" spans="1:11" x14ac:dyDescent="0.25">
      <c r="A254" s="31" t="s">
        <v>220</v>
      </c>
      <c r="B254" s="31"/>
      <c r="C254" s="31" t="s">
        <v>453</v>
      </c>
      <c r="D254" s="78">
        <v>2015</v>
      </c>
      <c r="E254" s="65" t="s">
        <v>554</v>
      </c>
      <c r="F254" s="30">
        <v>62.8</v>
      </c>
      <c r="G254" s="56">
        <f t="shared" si="32"/>
        <v>126542</v>
      </c>
      <c r="H254" s="110">
        <v>42.96</v>
      </c>
      <c r="I254" s="56">
        <f t="shared" ref="I254" si="39">$D254*H254</f>
        <v>86564.400000000009</v>
      </c>
    </row>
    <row r="255" spans="1:11" x14ac:dyDescent="0.25">
      <c r="A255" s="37" t="s">
        <v>595</v>
      </c>
      <c r="B255" s="31"/>
      <c r="C255" s="31" t="s">
        <v>570</v>
      </c>
      <c r="D255" s="78">
        <v>2015</v>
      </c>
      <c r="E255" s="65" t="s">
        <v>554</v>
      </c>
      <c r="F255" s="30">
        <v>4.9000000000000004</v>
      </c>
      <c r="G255" s="58" t="s">
        <v>561</v>
      </c>
      <c r="H255" s="30"/>
      <c r="I255" s="58"/>
    </row>
    <row r="256" spans="1:11" x14ac:dyDescent="0.25">
      <c r="A256" s="31" t="s">
        <v>221</v>
      </c>
      <c r="B256" s="31"/>
      <c r="C256" s="31" t="s">
        <v>454</v>
      </c>
      <c r="D256" s="78">
        <v>16</v>
      </c>
      <c r="E256" s="65" t="s">
        <v>553</v>
      </c>
      <c r="F256" s="30">
        <v>580</v>
      </c>
      <c r="G256" s="56">
        <f t="shared" si="32"/>
        <v>9280</v>
      </c>
      <c r="H256" s="55">
        <v>491.5</v>
      </c>
      <c r="I256" s="56">
        <f t="shared" ref="I256:I260" si="40">$D256*H256</f>
        <v>7864</v>
      </c>
    </row>
    <row r="257" spans="1:11" x14ac:dyDescent="0.25">
      <c r="A257" s="31" t="s">
        <v>222</v>
      </c>
      <c r="B257" s="31"/>
      <c r="C257" s="31" t="s">
        <v>455</v>
      </c>
      <c r="D257" s="78">
        <v>16</v>
      </c>
      <c r="E257" s="65" t="s">
        <v>553</v>
      </c>
      <c r="F257" s="30">
        <v>580</v>
      </c>
      <c r="G257" s="56">
        <f t="shared" si="32"/>
        <v>9280</v>
      </c>
      <c r="H257" s="55">
        <v>442.35</v>
      </c>
      <c r="I257" s="56">
        <f t="shared" si="40"/>
        <v>7077.6</v>
      </c>
    </row>
    <row r="258" spans="1:11" x14ac:dyDescent="0.25">
      <c r="A258" s="31" t="s">
        <v>223</v>
      </c>
      <c r="B258" s="31"/>
      <c r="C258" s="31" t="s">
        <v>456</v>
      </c>
      <c r="D258" s="78">
        <v>50</v>
      </c>
      <c r="E258" s="65" t="s">
        <v>553</v>
      </c>
      <c r="F258" s="30">
        <v>320</v>
      </c>
      <c r="G258" s="56">
        <f t="shared" si="32"/>
        <v>16000</v>
      </c>
      <c r="H258" s="55">
        <v>98.3</v>
      </c>
      <c r="I258" s="56">
        <f t="shared" si="40"/>
        <v>4915</v>
      </c>
    </row>
    <row r="259" spans="1:11" x14ac:dyDescent="0.25">
      <c r="A259" s="31" t="s">
        <v>224</v>
      </c>
      <c r="B259" s="31"/>
      <c r="C259" s="31" t="s">
        <v>457</v>
      </c>
      <c r="D259" s="78">
        <v>50</v>
      </c>
      <c r="E259" s="65" t="s">
        <v>553</v>
      </c>
      <c r="F259" s="30">
        <v>280</v>
      </c>
      <c r="G259" s="56">
        <f t="shared" si="32"/>
        <v>14000</v>
      </c>
      <c r="H259" s="55">
        <v>73.73</v>
      </c>
      <c r="I259" s="56">
        <f t="shared" si="40"/>
        <v>3686.5</v>
      </c>
    </row>
    <row r="260" spans="1:11" x14ac:dyDescent="0.25">
      <c r="A260" s="31" t="s">
        <v>225</v>
      </c>
      <c r="B260" s="31"/>
      <c r="C260" s="31" t="s">
        <v>458</v>
      </c>
      <c r="D260" s="78">
        <v>12</v>
      </c>
      <c r="E260" s="65" t="s">
        <v>556</v>
      </c>
      <c r="F260" s="30">
        <v>75</v>
      </c>
      <c r="G260" s="56">
        <f t="shared" si="32"/>
        <v>900</v>
      </c>
      <c r="H260" s="55">
        <v>78.64</v>
      </c>
      <c r="I260" s="56">
        <f t="shared" si="40"/>
        <v>943.68000000000006</v>
      </c>
    </row>
    <row r="261" spans="1:11" x14ac:dyDescent="0.25">
      <c r="A261" s="31" t="s">
        <v>226</v>
      </c>
      <c r="B261" s="31"/>
      <c r="C261" s="31" t="s">
        <v>459</v>
      </c>
      <c r="D261" s="78">
        <v>2015</v>
      </c>
      <c r="E261" s="65" t="s">
        <v>554</v>
      </c>
      <c r="F261" s="30">
        <v>0</v>
      </c>
      <c r="G261" s="56"/>
      <c r="H261" s="55">
        <v>2.95</v>
      </c>
      <c r="I261" s="56">
        <f t="shared" ref="I261:I263" si="41">$D261*H261</f>
        <v>5944.25</v>
      </c>
    </row>
    <row r="262" spans="1:11" x14ac:dyDescent="0.25">
      <c r="A262" s="37" t="s">
        <v>596</v>
      </c>
      <c r="B262" s="31"/>
      <c r="C262" s="31" t="s">
        <v>580</v>
      </c>
      <c r="D262" s="78">
        <v>1</v>
      </c>
      <c r="E262" s="65" t="s">
        <v>572</v>
      </c>
      <c r="F262" s="30">
        <v>2800</v>
      </c>
      <c r="G262" s="56">
        <f t="shared" si="32"/>
        <v>2800</v>
      </c>
      <c r="I262" s="56"/>
    </row>
    <row r="263" spans="1:11" x14ac:dyDescent="0.25">
      <c r="A263" s="31" t="s">
        <v>227</v>
      </c>
      <c r="B263" s="31"/>
      <c r="C263" s="31" t="s">
        <v>460</v>
      </c>
      <c r="D263" s="78">
        <v>40</v>
      </c>
      <c r="E263" s="65" t="s">
        <v>553</v>
      </c>
      <c r="F263" s="30">
        <v>190</v>
      </c>
      <c r="G263" s="56">
        <f t="shared" si="32"/>
        <v>7600</v>
      </c>
      <c r="H263" s="55">
        <v>88.47</v>
      </c>
      <c r="I263" s="56">
        <f t="shared" si="41"/>
        <v>3538.8</v>
      </c>
    </row>
    <row r="264" spans="1:11" x14ac:dyDescent="0.25">
      <c r="A264" s="32" t="s">
        <v>212</v>
      </c>
      <c r="B264" s="32"/>
      <c r="C264" s="32" t="s">
        <v>444</v>
      </c>
      <c r="D264" s="79"/>
      <c r="E264" s="66"/>
      <c r="F264" s="33"/>
      <c r="G264" s="57">
        <f>SUM(G244:G263)</f>
        <v>295896.3</v>
      </c>
      <c r="H264" s="33"/>
      <c r="I264" s="57">
        <f>SUM(I244:I263)</f>
        <v>208463.36000000002</v>
      </c>
    </row>
    <row r="265" spans="1:11" x14ac:dyDescent="0.25">
      <c r="A265" s="31"/>
      <c r="B265" s="31"/>
      <c r="C265" s="31"/>
      <c r="D265" s="78"/>
      <c r="E265" s="65"/>
      <c r="F265" s="30"/>
      <c r="G265" s="56"/>
      <c r="H265" s="30"/>
      <c r="I265" s="56"/>
    </row>
    <row r="266" spans="1:11" s="44" customFormat="1" x14ac:dyDescent="0.25">
      <c r="A266" s="38"/>
      <c r="B266" s="38"/>
      <c r="C266" s="38" t="s">
        <v>462</v>
      </c>
      <c r="D266" s="81"/>
      <c r="E266" s="68"/>
      <c r="F266" s="39"/>
      <c r="G266" s="60"/>
      <c r="H266" s="39"/>
      <c r="I266" s="60"/>
      <c r="K266" s="109"/>
    </row>
    <row r="267" spans="1:11" x14ac:dyDescent="0.25">
      <c r="A267" s="31" t="s">
        <v>229</v>
      </c>
      <c r="B267" s="31"/>
      <c r="C267" s="31" t="s">
        <v>463</v>
      </c>
      <c r="D267" s="78">
        <v>1579</v>
      </c>
      <c r="E267" s="65" t="s">
        <v>554</v>
      </c>
      <c r="F267" s="30">
        <v>2.7</v>
      </c>
      <c r="G267" s="56">
        <f t="shared" si="32"/>
        <v>4263.3</v>
      </c>
      <c r="H267" s="55">
        <v>2.6</v>
      </c>
      <c r="I267" s="56">
        <f t="shared" ref="I267:I268" si="42">$D267*H267</f>
        <v>4105.4000000000005</v>
      </c>
    </row>
    <row r="268" spans="1:11" x14ac:dyDescent="0.25">
      <c r="A268" s="31" t="s">
        <v>230</v>
      </c>
      <c r="B268" s="31"/>
      <c r="C268" s="31" t="s">
        <v>464</v>
      </c>
      <c r="D268" s="78">
        <v>1579</v>
      </c>
      <c r="E268" s="65" t="s">
        <v>554</v>
      </c>
      <c r="F268" s="30">
        <v>49.9</v>
      </c>
      <c r="G268" s="56">
        <f t="shared" si="32"/>
        <v>78792.099999999991</v>
      </c>
      <c r="H268" s="55">
        <v>43.4</v>
      </c>
      <c r="I268" s="56">
        <f t="shared" si="42"/>
        <v>68528.599999999991</v>
      </c>
    </row>
    <row r="269" spans="1:11" x14ac:dyDescent="0.25">
      <c r="A269" s="37" t="s">
        <v>597</v>
      </c>
      <c r="B269" s="31"/>
      <c r="C269" s="31" t="s">
        <v>598</v>
      </c>
      <c r="D269" s="78">
        <v>1579</v>
      </c>
      <c r="E269" s="65" t="s">
        <v>554</v>
      </c>
      <c r="F269" s="30">
        <v>31.8</v>
      </c>
      <c r="G269" s="58" t="s">
        <v>561</v>
      </c>
      <c r="H269" s="30"/>
      <c r="I269" s="58"/>
    </row>
    <row r="270" spans="1:11" x14ac:dyDescent="0.25">
      <c r="A270" s="31" t="s">
        <v>231</v>
      </c>
      <c r="B270" s="31"/>
      <c r="C270" s="31" t="s">
        <v>465</v>
      </c>
      <c r="D270" s="78">
        <v>1579</v>
      </c>
      <c r="E270" s="65" t="s">
        <v>554</v>
      </c>
      <c r="F270" s="30">
        <v>6.3</v>
      </c>
      <c r="G270" s="56">
        <f t="shared" si="32"/>
        <v>9947.6999999999989</v>
      </c>
      <c r="H270" s="55">
        <v>5.31</v>
      </c>
      <c r="I270" s="56">
        <f t="shared" ref="I270:I277" si="43">$D270*H270</f>
        <v>8384.49</v>
      </c>
    </row>
    <row r="271" spans="1:11" x14ac:dyDescent="0.25">
      <c r="A271" s="31" t="s">
        <v>232</v>
      </c>
      <c r="B271" s="31"/>
      <c r="C271" s="31" t="s">
        <v>466</v>
      </c>
      <c r="D271" s="78">
        <v>984</v>
      </c>
      <c r="E271" s="65" t="s">
        <v>554</v>
      </c>
      <c r="F271" s="30">
        <v>15.8</v>
      </c>
      <c r="G271" s="56">
        <f t="shared" si="32"/>
        <v>15547.2</v>
      </c>
      <c r="H271" s="55">
        <v>8.6999999999999993</v>
      </c>
      <c r="I271" s="56">
        <f t="shared" si="43"/>
        <v>8560.7999999999993</v>
      </c>
    </row>
    <row r="272" spans="1:11" x14ac:dyDescent="0.25">
      <c r="A272" s="31" t="s">
        <v>233</v>
      </c>
      <c r="B272" s="31"/>
      <c r="C272" s="31" t="s">
        <v>467</v>
      </c>
      <c r="D272" s="78">
        <v>984</v>
      </c>
      <c r="E272" s="65" t="s">
        <v>554</v>
      </c>
      <c r="F272" s="30">
        <v>16.2</v>
      </c>
      <c r="G272" s="56">
        <f t="shared" si="32"/>
        <v>15940.8</v>
      </c>
      <c r="H272" s="55">
        <v>8.9499999999999993</v>
      </c>
      <c r="I272" s="56">
        <f t="shared" si="43"/>
        <v>8806.7999999999993</v>
      </c>
    </row>
    <row r="273" spans="1:11" x14ac:dyDescent="0.25">
      <c r="A273" s="31" t="s">
        <v>234</v>
      </c>
      <c r="B273" s="31"/>
      <c r="C273" s="31" t="s">
        <v>468</v>
      </c>
      <c r="D273" s="78">
        <v>984</v>
      </c>
      <c r="E273" s="65" t="s">
        <v>554</v>
      </c>
      <c r="F273" s="30">
        <v>8.9</v>
      </c>
      <c r="G273" s="56">
        <f t="shared" si="32"/>
        <v>8757.6</v>
      </c>
      <c r="H273" s="55">
        <v>4.28</v>
      </c>
      <c r="I273" s="56">
        <f t="shared" si="43"/>
        <v>4211.5200000000004</v>
      </c>
    </row>
    <row r="274" spans="1:11" x14ac:dyDescent="0.25">
      <c r="A274" s="31" t="s">
        <v>235</v>
      </c>
      <c r="B274" s="31"/>
      <c r="C274" s="31" t="s">
        <v>469</v>
      </c>
      <c r="D274" s="78">
        <v>984</v>
      </c>
      <c r="E274" s="65" t="s">
        <v>554</v>
      </c>
      <c r="F274" s="30">
        <v>3.8</v>
      </c>
      <c r="G274" s="56">
        <f t="shared" si="32"/>
        <v>3739.2</v>
      </c>
      <c r="H274" s="55">
        <v>1.72</v>
      </c>
      <c r="I274" s="56">
        <f t="shared" si="43"/>
        <v>1692.48</v>
      </c>
    </row>
    <row r="275" spans="1:11" x14ac:dyDescent="0.25">
      <c r="A275" s="31" t="s">
        <v>236</v>
      </c>
      <c r="B275" s="31"/>
      <c r="C275" s="31" t="s">
        <v>470</v>
      </c>
      <c r="D275" s="78">
        <v>984</v>
      </c>
      <c r="E275" s="65" t="s">
        <v>554</v>
      </c>
      <c r="F275" s="30">
        <v>4.2</v>
      </c>
      <c r="G275" s="56">
        <f t="shared" si="32"/>
        <v>4132.8</v>
      </c>
      <c r="H275" s="55">
        <v>4.62</v>
      </c>
      <c r="I275" s="56">
        <f t="shared" si="43"/>
        <v>4546.08</v>
      </c>
    </row>
    <row r="276" spans="1:11" x14ac:dyDescent="0.25">
      <c r="A276" s="31" t="s">
        <v>237</v>
      </c>
      <c r="B276" s="31"/>
      <c r="C276" s="31" t="s">
        <v>471</v>
      </c>
      <c r="D276" s="78">
        <v>596</v>
      </c>
      <c r="E276" s="65" t="s">
        <v>554</v>
      </c>
      <c r="F276" s="30">
        <v>24.8</v>
      </c>
      <c r="G276" s="56">
        <f t="shared" si="32"/>
        <v>14780.800000000001</v>
      </c>
      <c r="H276" s="55">
        <v>18.87</v>
      </c>
      <c r="I276" s="56">
        <f t="shared" si="43"/>
        <v>11246.52</v>
      </c>
    </row>
    <row r="277" spans="1:11" x14ac:dyDescent="0.25">
      <c r="A277" s="31" t="s">
        <v>238</v>
      </c>
      <c r="B277" s="31"/>
      <c r="C277" s="31" t="s">
        <v>472</v>
      </c>
      <c r="D277" s="78">
        <v>487</v>
      </c>
      <c r="E277" s="65" t="s">
        <v>556</v>
      </c>
      <c r="F277" s="30">
        <v>14.8</v>
      </c>
      <c r="G277" s="56">
        <f t="shared" si="32"/>
        <v>7207.6</v>
      </c>
      <c r="H277" s="55">
        <v>17.690000000000001</v>
      </c>
      <c r="I277" s="56">
        <f t="shared" si="43"/>
        <v>8615.0300000000007</v>
      </c>
    </row>
    <row r="278" spans="1:11" x14ac:dyDescent="0.25">
      <c r="A278" s="32" t="s">
        <v>228</v>
      </c>
      <c r="B278" s="32"/>
      <c r="C278" s="32" t="s">
        <v>461</v>
      </c>
      <c r="D278" s="79"/>
      <c r="E278" s="66"/>
      <c r="F278" s="33"/>
      <c r="G278" s="57">
        <f>SUM(G267:G277)</f>
        <v>163109.09999999998</v>
      </c>
      <c r="H278" s="33"/>
      <c r="I278" s="57">
        <f>SUM(I267:I277)</f>
        <v>128697.72</v>
      </c>
    </row>
    <row r="279" spans="1:11" x14ac:dyDescent="0.25">
      <c r="A279" s="31"/>
      <c r="B279" s="31"/>
      <c r="C279" s="31"/>
      <c r="D279" s="78"/>
      <c r="E279" s="65"/>
      <c r="F279" s="30"/>
      <c r="G279" s="56"/>
      <c r="H279" s="30"/>
      <c r="I279" s="56"/>
    </row>
    <row r="280" spans="1:11" s="36" customFormat="1" x14ac:dyDescent="0.25">
      <c r="A280" s="34"/>
      <c r="B280" s="34"/>
      <c r="C280" s="34" t="s">
        <v>474</v>
      </c>
      <c r="D280" s="80"/>
      <c r="E280" s="67"/>
      <c r="F280" s="35"/>
      <c r="G280" s="59"/>
      <c r="H280" s="35"/>
      <c r="I280" s="59"/>
      <c r="K280" s="110"/>
    </row>
    <row r="281" spans="1:11" x14ac:dyDescent="0.25">
      <c r="A281" s="31" t="s">
        <v>240</v>
      </c>
      <c r="B281" s="31"/>
      <c r="C281" s="31" t="s">
        <v>463</v>
      </c>
      <c r="D281" s="78">
        <v>436</v>
      </c>
      <c r="E281" s="65" t="s">
        <v>554</v>
      </c>
      <c r="F281" s="30">
        <v>2.7</v>
      </c>
      <c r="G281" s="56">
        <f t="shared" si="32"/>
        <v>1177.2</v>
      </c>
      <c r="H281" s="55">
        <v>2.6</v>
      </c>
      <c r="I281" s="56">
        <f t="shared" ref="I281:I282" si="44">$D281*H281</f>
        <v>1133.6000000000001</v>
      </c>
    </row>
    <row r="282" spans="1:11" x14ac:dyDescent="0.25">
      <c r="A282" s="31" t="s">
        <v>241</v>
      </c>
      <c r="B282" s="31"/>
      <c r="C282" s="31" t="s">
        <v>464</v>
      </c>
      <c r="D282" s="78">
        <v>436</v>
      </c>
      <c r="E282" s="65" t="s">
        <v>554</v>
      </c>
      <c r="F282" s="30">
        <v>49.9</v>
      </c>
      <c r="G282" s="56">
        <f t="shared" si="32"/>
        <v>21756.399999999998</v>
      </c>
      <c r="H282" s="55">
        <v>43.4</v>
      </c>
      <c r="I282" s="56">
        <f t="shared" si="44"/>
        <v>18922.399999999998</v>
      </c>
    </row>
    <row r="283" spans="1:11" x14ac:dyDescent="0.25">
      <c r="A283" s="37" t="s">
        <v>599</v>
      </c>
      <c r="B283" s="31"/>
      <c r="C283" s="31" t="s">
        <v>598</v>
      </c>
      <c r="D283" s="78">
        <v>436</v>
      </c>
      <c r="E283" s="65" t="s">
        <v>554</v>
      </c>
      <c r="F283" s="30">
        <v>31.8</v>
      </c>
      <c r="G283" s="58" t="s">
        <v>561</v>
      </c>
      <c r="H283" s="30"/>
      <c r="I283" s="58"/>
    </row>
    <row r="284" spans="1:11" x14ac:dyDescent="0.25">
      <c r="A284" s="31" t="s">
        <v>242</v>
      </c>
      <c r="B284" s="31"/>
      <c r="C284" s="31" t="s">
        <v>465</v>
      </c>
      <c r="D284" s="78">
        <v>436</v>
      </c>
      <c r="E284" s="65" t="s">
        <v>554</v>
      </c>
      <c r="F284" s="30">
        <v>6.3</v>
      </c>
      <c r="G284" s="56">
        <f t="shared" si="32"/>
        <v>2746.7999999999997</v>
      </c>
      <c r="H284" s="55">
        <v>5.31</v>
      </c>
      <c r="I284" s="56">
        <f t="shared" ref="I284:I289" si="45">$D284*H284</f>
        <v>2315.16</v>
      </c>
    </row>
    <row r="285" spans="1:11" x14ac:dyDescent="0.25">
      <c r="A285" s="31" t="s">
        <v>243</v>
      </c>
      <c r="B285" s="31"/>
      <c r="C285" s="31" t="s">
        <v>475</v>
      </c>
      <c r="D285" s="78">
        <v>436</v>
      </c>
      <c r="E285" s="65" t="s">
        <v>554</v>
      </c>
      <c r="F285" s="30">
        <v>19.899999999999999</v>
      </c>
      <c r="G285" s="56">
        <f t="shared" ref="G285:G351" si="46">$D285*F285</f>
        <v>8676.4</v>
      </c>
      <c r="H285" s="55">
        <v>11.01</v>
      </c>
      <c r="I285" s="56">
        <f t="shared" si="45"/>
        <v>4800.3599999999997</v>
      </c>
    </row>
    <row r="286" spans="1:11" x14ac:dyDescent="0.25">
      <c r="A286" s="31" t="s">
        <v>244</v>
      </c>
      <c r="B286" s="31"/>
      <c r="C286" s="31" t="s">
        <v>476</v>
      </c>
      <c r="D286" s="78">
        <v>436</v>
      </c>
      <c r="E286" s="65" t="s">
        <v>554</v>
      </c>
      <c r="F286" s="30">
        <v>128.80000000000001</v>
      </c>
      <c r="G286" s="56">
        <f t="shared" si="46"/>
        <v>56156.800000000003</v>
      </c>
      <c r="H286" s="55">
        <v>88.47</v>
      </c>
      <c r="I286" s="56">
        <f t="shared" si="45"/>
        <v>38572.92</v>
      </c>
    </row>
    <row r="287" spans="1:11" x14ac:dyDescent="0.25">
      <c r="A287" s="31" t="s">
        <v>245</v>
      </c>
      <c r="B287" s="31"/>
      <c r="C287" s="31" t="s">
        <v>477</v>
      </c>
      <c r="D287" s="78">
        <v>181</v>
      </c>
      <c r="E287" s="65" t="s">
        <v>556</v>
      </c>
      <c r="F287" s="30">
        <v>6.8</v>
      </c>
      <c r="G287" s="56">
        <f t="shared" si="46"/>
        <v>1230.8</v>
      </c>
      <c r="H287" s="55">
        <v>21.77</v>
      </c>
      <c r="I287" s="56">
        <f t="shared" si="45"/>
        <v>3940.37</v>
      </c>
    </row>
    <row r="288" spans="1:11" x14ac:dyDescent="0.25">
      <c r="A288" s="31" t="s">
        <v>246</v>
      </c>
      <c r="B288" s="31"/>
      <c r="C288" s="31" t="s">
        <v>478</v>
      </c>
      <c r="D288" s="78">
        <v>0</v>
      </c>
      <c r="E288" s="65" t="s">
        <v>556</v>
      </c>
      <c r="F288" s="30">
        <v>85</v>
      </c>
      <c r="G288" s="56">
        <f t="shared" si="46"/>
        <v>0</v>
      </c>
      <c r="H288" s="55">
        <v>59.47</v>
      </c>
      <c r="I288" s="56">
        <f t="shared" si="45"/>
        <v>0</v>
      </c>
    </row>
    <row r="289" spans="1:11" x14ac:dyDescent="0.25">
      <c r="A289" s="31" t="s">
        <v>247</v>
      </c>
      <c r="B289" s="31"/>
      <c r="C289" s="31" t="s">
        <v>479</v>
      </c>
      <c r="D289" s="78">
        <v>0</v>
      </c>
      <c r="E289" s="65" t="s">
        <v>556</v>
      </c>
      <c r="F289" s="30">
        <v>129</v>
      </c>
      <c r="G289" s="56">
        <f t="shared" si="46"/>
        <v>0</v>
      </c>
      <c r="H289" s="55">
        <v>132.71</v>
      </c>
      <c r="I289" s="56">
        <f t="shared" si="45"/>
        <v>0</v>
      </c>
    </row>
    <row r="290" spans="1:11" x14ac:dyDescent="0.25">
      <c r="A290" s="32" t="s">
        <v>239</v>
      </c>
      <c r="B290" s="32"/>
      <c r="C290" s="32" t="s">
        <v>473</v>
      </c>
      <c r="D290" s="79"/>
      <c r="E290" s="66"/>
      <c r="F290" s="33"/>
      <c r="G290" s="57">
        <f>SUM(G281:G289)</f>
        <v>91744.400000000009</v>
      </c>
      <c r="H290" s="33"/>
      <c r="I290" s="57">
        <f>SUM(I281:I289)</f>
        <v>69684.81</v>
      </c>
    </row>
    <row r="291" spans="1:11" x14ac:dyDescent="0.25">
      <c r="A291" s="31"/>
      <c r="B291" s="31"/>
      <c r="C291" s="31"/>
      <c r="D291" s="78"/>
      <c r="E291" s="65"/>
      <c r="F291" s="30"/>
      <c r="G291" s="56"/>
      <c r="H291" s="30"/>
      <c r="I291" s="56"/>
    </row>
    <row r="292" spans="1:11" s="36" customFormat="1" x14ac:dyDescent="0.25">
      <c r="A292" s="34"/>
      <c r="B292" s="34"/>
      <c r="C292" s="34" t="s">
        <v>481</v>
      </c>
      <c r="D292" s="80"/>
      <c r="E292" s="67"/>
      <c r="F292" s="35"/>
      <c r="G292" s="59"/>
      <c r="H292" s="35"/>
      <c r="I292" s="59"/>
      <c r="K292" s="107"/>
    </row>
    <row r="293" spans="1:11" x14ac:dyDescent="0.25">
      <c r="A293" s="31" t="s">
        <v>249</v>
      </c>
      <c r="B293" s="31"/>
      <c r="C293" s="31" t="s">
        <v>446</v>
      </c>
      <c r="D293" s="78">
        <v>31</v>
      </c>
      <c r="E293" s="65" t="s">
        <v>554</v>
      </c>
      <c r="F293" s="30">
        <v>2.2000000000000002</v>
      </c>
      <c r="G293" s="56">
        <f t="shared" si="46"/>
        <v>68.2</v>
      </c>
      <c r="H293" s="55">
        <v>0.98</v>
      </c>
      <c r="I293" s="56">
        <f t="shared" ref="I293:I302" si="47">$D293*H293</f>
        <v>30.38</v>
      </c>
    </row>
    <row r="294" spans="1:11" x14ac:dyDescent="0.25">
      <c r="A294" s="31" t="s">
        <v>250</v>
      </c>
      <c r="B294" s="31"/>
      <c r="C294" s="31" t="s">
        <v>447</v>
      </c>
      <c r="D294" s="78">
        <v>31</v>
      </c>
      <c r="E294" s="65" t="s">
        <v>554</v>
      </c>
      <c r="F294" s="30">
        <v>4.4000000000000004</v>
      </c>
      <c r="G294" s="56">
        <f t="shared" si="46"/>
        <v>136.4</v>
      </c>
      <c r="H294" s="55">
        <v>3.15</v>
      </c>
      <c r="I294" s="56">
        <f t="shared" si="47"/>
        <v>97.649999999999991</v>
      </c>
    </row>
    <row r="295" spans="1:11" x14ac:dyDescent="0.25">
      <c r="A295" s="31" t="s">
        <v>251</v>
      </c>
      <c r="B295" s="31"/>
      <c r="C295" s="31" t="s">
        <v>482</v>
      </c>
      <c r="D295" s="78">
        <v>23</v>
      </c>
      <c r="E295" s="65" t="s">
        <v>556</v>
      </c>
      <c r="F295" s="30">
        <v>2.8</v>
      </c>
      <c r="G295" s="56">
        <f t="shared" si="46"/>
        <v>64.399999999999991</v>
      </c>
      <c r="H295" s="110">
        <v>2.36</v>
      </c>
      <c r="I295" s="56">
        <f t="shared" si="47"/>
        <v>54.279999999999994</v>
      </c>
    </row>
    <row r="296" spans="1:11" x14ac:dyDescent="0.25">
      <c r="A296" s="31" t="s">
        <v>252</v>
      </c>
      <c r="B296" s="31"/>
      <c r="C296" s="31" t="s">
        <v>483</v>
      </c>
      <c r="D296" s="78">
        <v>31</v>
      </c>
      <c r="E296" s="65" t="s">
        <v>554</v>
      </c>
      <c r="F296" s="30">
        <v>16.899999999999999</v>
      </c>
      <c r="G296" s="56">
        <f t="shared" si="46"/>
        <v>523.9</v>
      </c>
      <c r="H296" s="55">
        <v>10.220000000000001</v>
      </c>
      <c r="I296" s="56">
        <f t="shared" si="47"/>
        <v>316.82</v>
      </c>
    </row>
    <row r="297" spans="1:11" x14ac:dyDescent="0.25">
      <c r="A297" s="31" t="s">
        <v>253</v>
      </c>
      <c r="B297" s="31"/>
      <c r="C297" s="31" t="s">
        <v>484</v>
      </c>
      <c r="D297" s="78">
        <v>23</v>
      </c>
      <c r="E297" s="65" t="s">
        <v>556</v>
      </c>
      <c r="F297" s="30">
        <v>15.1</v>
      </c>
      <c r="G297" s="56">
        <f t="shared" si="46"/>
        <v>347.3</v>
      </c>
      <c r="H297" s="55">
        <v>7.67</v>
      </c>
      <c r="I297" s="56">
        <f t="shared" si="47"/>
        <v>176.41</v>
      </c>
    </row>
    <row r="298" spans="1:11" x14ac:dyDescent="0.25">
      <c r="A298" s="31" t="s">
        <v>254</v>
      </c>
      <c r="B298" s="31"/>
      <c r="C298" s="31" t="s">
        <v>452</v>
      </c>
      <c r="D298" s="78">
        <v>23</v>
      </c>
      <c r="E298" s="65" t="s">
        <v>556</v>
      </c>
      <c r="F298" s="30">
        <v>3.2</v>
      </c>
      <c r="G298" s="56">
        <f t="shared" si="46"/>
        <v>73.600000000000009</v>
      </c>
      <c r="H298" s="55">
        <v>3.78</v>
      </c>
      <c r="I298" s="56">
        <f t="shared" si="47"/>
        <v>86.94</v>
      </c>
    </row>
    <row r="299" spans="1:11" x14ac:dyDescent="0.25">
      <c r="A299" s="31" t="s">
        <v>255</v>
      </c>
      <c r="B299" s="31"/>
      <c r="C299" s="31" t="s">
        <v>485</v>
      </c>
      <c r="D299" s="78">
        <v>31</v>
      </c>
      <c r="E299" s="65" t="s">
        <v>554</v>
      </c>
      <c r="F299" s="30">
        <v>49.9</v>
      </c>
      <c r="G299" s="56">
        <f t="shared" si="46"/>
        <v>1546.8999999999999</v>
      </c>
      <c r="H299" s="55">
        <v>31.46</v>
      </c>
      <c r="I299" s="56">
        <f t="shared" si="47"/>
        <v>975.26</v>
      </c>
    </row>
    <row r="300" spans="1:11" x14ac:dyDescent="0.25">
      <c r="A300" s="31" t="s">
        <v>256</v>
      </c>
      <c r="B300" s="31"/>
      <c r="C300" s="31" t="s">
        <v>486</v>
      </c>
      <c r="D300" s="78">
        <v>31</v>
      </c>
      <c r="E300" s="65" t="s">
        <v>554</v>
      </c>
      <c r="F300" s="30">
        <v>18.8</v>
      </c>
      <c r="G300" s="56">
        <f t="shared" si="46"/>
        <v>582.80000000000007</v>
      </c>
      <c r="H300" s="55">
        <v>12.58</v>
      </c>
      <c r="I300" s="56">
        <f t="shared" si="47"/>
        <v>389.98</v>
      </c>
    </row>
    <row r="301" spans="1:11" x14ac:dyDescent="0.25">
      <c r="A301" s="31" t="s">
        <v>257</v>
      </c>
      <c r="B301" s="31"/>
      <c r="C301" s="31" t="s">
        <v>450</v>
      </c>
      <c r="D301" s="78">
        <v>31</v>
      </c>
      <c r="E301" s="65" t="s">
        <v>554</v>
      </c>
      <c r="F301" s="30">
        <v>22.8</v>
      </c>
      <c r="G301" s="56">
        <f t="shared" si="46"/>
        <v>706.80000000000007</v>
      </c>
      <c r="H301" s="55">
        <v>17.2</v>
      </c>
      <c r="I301" s="56">
        <f t="shared" si="47"/>
        <v>533.19999999999993</v>
      </c>
    </row>
    <row r="302" spans="1:11" x14ac:dyDescent="0.25">
      <c r="A302" s="31" t="s">
        <v>258</v>
      </c>
      <c r="B302" s="31"/>
      <c r="C302" s="31" t="s">
        <v>487</v>
      </c>
      <c r="D302" s="78">
        <v>23</v>
      </c>
      <c r="E302" s="65" t="s">
        <v>556</v>
      </c>
      <c r="F302" s="30">
        <v>65</v>
      </c>
      <c r="G302" s="56">
        <f t="shared" si="46"/>
        <v>1495</v>
      </c>
      <c r="H302" s="55">
        <v>13.4</v>
      </c>
      <c r="I302" s="56">
        <f t="shared" si="47"/>
        <v>308.2</v>
      </c>
    </row>
    <row r="303" spans="1:11" x14ac:dyDescent="0.25">
      <c r="A303" s="37" t="s">
        <v>600</v>
      </c>
      <c r="B303" s="31"/>
      <c r="C303" s="31" t="s">
        <v>567</v>
      </c>
      <c r="D303" s="78">
        <v>23</v>
      </c>
      <c r="E303" s="65" t="s">
        <v>556</v>
      </c>
      <c r="F303" s="30">
        <v>99</v>
      </c>
      <c r="G303" s="58" t="s">
        <v>561</v>
      </c>
      <c r="H303" s="30"/>
      <c r="I303" s="58"/>
    </row>
    <row r="304" spans="1:11" x14ac:dyDescent="0.25">
      <c r="A304" s="31" t="s">
        <v>259</v>
      </c>
      <c r="B304" s="31" t="s">
        <v>432</v>
      </c>
      <c r="C304" s="31" t="s">
        <v>463</v>
      </c>
      <c r="D304" s="78">
        <v>31</v>
      </c>
      <c r="E304" s="65" t="s">
        <v>554</v>
      </c>
      <c r="F304" s="30">
        <v>3.7</v>
      </c>
      <c r="G304" s="58" t="s">
        <v>561</v>
      </c>
      <c r="H304" s="55">
        <v>2.6</v>
      </c>
      <c r="I304" s="58" t="s">
        <v>561</v>
      </c>
    </row>
    <row r="305" spans="1:9" x14ac:dyDescent="0.25">
      <c r="A305" s="31" t="s">
        <v>260</v>
      </c>
      <c r="B305" s="31" t="s">
        <v>432</v>
      </c>
      <c r="C305" s="31" t="s">
        <v>466</v>
      </c>
      <c r="D305" s="78">
        <v>17</v>
      </c>
      <c r="E305" s="65" t="s">
        <v>554</v>
      </c>
      <c r="F305" s="30">
        <v>16.8</v>
      </c>
      <c r="G305" s="58" t="s">
        <v>561</v>
      </c>
      <c r="H305" s="55">
        <v>8.6999999999999993</v>
      </c>
      <c r="I305" s="58" t="s">
        <v>561</v>
      </c>
    </row>
    <row r="306" spans="1:9" x14ac:dyDescent="0.25">
      <c r="A306" s="31" t="s">
        <v>261</v>
      </c>
      <c r="B306" s="31" t="s">
        <v>432</v>
      </c>
      <c r="C306" s="31" t="s">
        <v>467</v>
      </c>
      <c r="D306" s="78">
        <v>17</v>
      </c>
      <c r="E306" s="65" t="s">
        <v>554</v>
      </c>
      <c r="F306" s="30">
        <v>18.2</v>
      </c>
      <c r="G306" s="58" t="s">
        <v>561</v>
      </c>
      <c r="H306" s="55">
        <v>8.9499999999999993</v>
      </c>
      <c r="I306" s="58" t="s">
        <v>561</v>
      </c>
    </row>
    <row r="307" spans="1:9" x14ac:dyDescent="0.25">
      <c r="A307" s="31" t="s">
        <v>262</v>
      </c>
      <c r="B307" s="31" t="s">
        <v>432</v>
      </c>
      <c r="C307" s="31" t="s">
        <v>468</v>
      </c>
      <c r="D307" s="78">
        <v>17</v>
      </c>
      <c r="E307" s="65" t="s">
        <v>554</v>
      </c>
      <c r="F307" s="30">
        <v>10.9</v>
      </c>
      <c r="G307" s="58" t="s">
        <v>561</v>
      </c>
      <c r="H307" s="55">
        <v>4.28</v>
      </c>
      <c r="I307" s="58" t="s">
        <v>561</v>
      </c>
    </row>
    <row r="308" spans="1:9" x14ac:dyDescent="0.25">
      <c r="A308" s="31" t="s">
        <v>263</v>
      </c>
      <c r="B308" s="31" t="s">
        <v>432</v>
      </c>
      <c r="C308" s="31" t="s">
        <v>469</v>
      </c>
      <c r="D308" s="78">
        <v>17</v>
      </c>
      <c r="E308" s="65" t="s">
        <v>554</v>
      </c>
      <c r="F308" s="30">
        <v>4.8</v>
      </c>
      <c r="G308" s="58" t="s">
        <v>561</v>
      </c>
      <c r="H308" s="107">
        <v>1.72</v>
      </c>
      <c r="I308" s="58" t="s">
        <v>561</v>
      </c>
    </row>
    <row r="309" spans="1:9" x14ac:dyDescent="0.25">
      <c r="A309" s="31" t="s">
        <v>264</v>
      </c>
      <c r="B309" s="31" t="s">
        <v>432</v>
      </c>
      <c r="C309" s="31" t="s">
        <v>470</v>
      </c>
      <c r="D309" s="78">
        <v>17</v>
      </c>
      <c r="E309" s="65" t="s">
        <v>554</v>
      </c>
      <c r="F309" s="30">
        <v>3.8</v>
      </c>
      <c r="G309" s="58" t="s">
        <v>561</v>
      </c>
      <c r="H309" s="55">
        <v>4.62</v>
      </c>
      <c r="I309" s="58" t="s">
        <v>561</v>
      </c>
    </row>
    <row r="310" spans="1:9" x14ac:dyDescent="0.25">
      <c r="A310" s="31" t="s">
        <v>265</v>
      </c>
      <c r="B310" s="31"/>
      <c r="C310" s="31" t="s">
        <v>488</v>
      </c>
      <c r="D310" s="78">
        <v>31</v>
      </c>
      <c r="E310" s="65" t="s">
        <v>554</v>
      </c>
      <c r="F310" s="30">
        <v>24.8</v>
      </c>
      <c r="G310" s="56">
        <f t="shared" si="46"/>
        <v>768.80000000000007</v>
      </c>
      <c r="H310" s="55">
        <v>15.73</v>
      </c>
      <c r="I310" s="56">
        <f t="shared" ref="I310" si="48">$D310*H310</f>
        <v>487.63</v>
      </c>
    </row>
    <row r="311" spans="1:9" x14ac:dyDescent="0.25">
      <c r="A311" s="31" t="s">
        <v>266</v>
      </c>
      <c r="B311" s="31" t="s">
        <v>432</v>
      </c>
      <c r="C311" s="31" t="s">
        <v>472</v>
      </c>
      <c r="D311" s="78">
        <v>23</v>
      </c>
      <c r="E311" s="65" t="s">
        <v>556</v>
      </c>
      <c r="F311" s="30">
        <v>14.8</v>
      </c>
      <c r="G311" s="58" t="s">
        <v>561</v>
      </c>
      <c r="H311" s="55">
        <v>17.690000000000001</v>
      </c>
      <c r="I311" s="58" t="s">
        <v>561</v>
      </c>
    </row>
    <row r="312" spans="1:9" x14ac:dyDescent="0.25">
      <c r="A312" s="31" t="s">
        <v>267</v>
      </c>
      <c r="B312" s="31"/>
      <c r="C312" s="31" t="s">
        <v>454</v>
      </c>
      <c r="D312" s="78">
        <v>1</v>
      </c>
      <c r="E312" s="65" t="s">
        <v>553</v>
      </c>
      <c r="F312" s="30">
        <v>580</v>
      </c>
      <c r="G312" s="56">
        <f t="shared" si="46"/>
        <v>580</v>
      </c>
      <c r="H312" s="55">
        <v>491.5</v>
      </c>
      <c r="I312" s="56">
        <f t="shared" ref="I312:I316" si="49">$D312*H312</f>
        <v>491.5</v>
      </c>
    </row>
    <row r="313" spans="1:9" x14ac:dyDescent="0.25">
      <c r="A313" s="31" t="s">
        <v>268</v>
      </c>
      <c r="B313" s="31"/>
      <c r="C313" s="31" t="s">
        <v>455</v>
      </c>
      <c r="D313" s="78">
        <v>1</v>
      </c>
      <c r="E313" s="65" t="s">
        <v>553</v>
      </c>
      <c r="F313" s="30">
        <v>580</v>
      </c>
      <c r="G313" s="56">
        <f t="shared" si="46"/>
        <v>580</v>
      </c>
      <c r="H313" s="55">
        <v>442.35</v>
      </c>
      <c r="I313" s="56">
        <f t="shared" si="49"/>
        <v>442.35</v>
      </c>
    </row>
    <row r="314" spans="1:9" x14ac:dyDescent="0.25">
      <c r="A314" s="31" t="s">
        <v>269</v>
      </c>
      <c r="B314" s="31"/>
      <c r="C314" s="31" t="s">
        <v>456</v>
      </c>
      <c r="D314" s="78">
        <v>2</v>
      </c>
      <c r="E314" s="65" t="s">
        <v>553</v>
      </c>
      <c r="F314" s="30">
        <v>320</v>
      </c>
      <c r="G314" s="56">
        <f t="shared" si="46"/>
        <v>640</v>
      </c>
      <c r="H314" s="55">
        <v>98.3</v>
      </c>
      <c r="I314" s="56">
        <f t="shared" si="49"/>
        <v>196.6</v>
      </c>
    </row>
    <row r="315" spans="1:9" x14ac:dyDescent="0.25">
      <c r="A315" s="31" t="s">
        <v>270</v>
      </c>
      <c r="B315" s="31"/>
      <c r="C315" s="31" t="s">
        <v>457</v>
      </c>
      <c r="D315" s="78">
        <v>2</v>
      </c>
      <c r="E315" s="65" t="s">
        <v>553</v>
      </c>
      <c r="F315" s="30">
        <v>280</v>
      </c>
      <c r="G315" s="56">
        <f t="shared" si="46"/>
        <v>560</v>
      </c>
      <c r="H315" s="55">
        <v>73.73</v>
      </c>
      <c r="I315" s="56">
        <f t="shared" si="49"/>
        <v>147.46</v>
      </c>
    </row>
    <row r="316" spans="1:9" x14ac:dyDescent="0.25">
      <c r="A316" s="31" t="s">
        <v>271</v>
      </c>
      <c r="B316" s="31"/>
      <c r="C316" s="31" t="s">
        <v>458</v>
      </c>
      <c r="D316" s="78">
        <v>6</v>
      </c>
      <c r="E316" s="65" t="s">
        <v>556</v>
      </c>
      <c r="F316" s="30">
        <v>75</v>
      </c>
      <c r="G316" s="56">
        <f t="shared" si="46"/>
        <v>450</v>
      </c>
      <c r="H316" s="55">
        <v>78.64</v>
      </c>
      <c r="I316" s="56">
        <f t="shared" si="49"/>
        <v>471.84000000000003</v>
      </c>
    </row>
    <row r="317" spans="1:9" x14ac:dyDescent="0.25">
      <c r="A317" s="97" t="s">
        <v>619</v>
      </c>
      <c r="B317" s="31"/>
      <c r="C317" s="31" t="s">
        <v>459</v>
      </c>
      <c r="D317" s="78">
        <v>31</v>
      </c>
      <c r="E317" s="65" t="s">
        <v>554</v>
      </c>
      <c r="F317" s="30"/>
      <c r="G317" s="56"/>
      <c r="H317" s="55">
        <v>2.95</v>
      </c>
      <c r="I317" s="56">
        <f>$D317*H317</f>
        <v>91.45</v>
      </c>
    </row>
    <row r="318" spans="1:9" x14ac:dyDescent="0.25">
      <c r="A318" s="37" t="s">
        <v>601</v>
      </c>
      <c r="B318" s="31"/>
      <c r="C318" s="31" t="s">
        <v>580</v>
      </c>
      <c r="D318" s="78">
        <v>1</v>
      </c>
      <c r="E318" s="65" t="s">
        <v>572</v>
      </c>
      <c r="F318" s="30">
        <v>150</v>
      </c>
      <c r="G318" s="56">
        <f t="shared" si="46"/>
        <v>150</v>
      </c>
      <c r="H318" s="30"/>
      <c r="I318" s="56"/>
    </row>
    <row r="319" spans="1:9" x14ac:dyDescent="0.25">
      <c r="A319" s="32" t="s">
        <v>248</v>
      </c>
      <c r="B319" s="32"/>
      <c r="C319" s="32" t="s">
        <v>480</v>
      </c>
      <c r="D319" s="79"/>
      <c r="E319" s="66"/>
      <c r="F319" s="33"/>
      <c r="G319" s="57">
        <f>SUM(G293:G318)</f>
        <v>9274.1</v>
      </c>
      <c r="H319" s="33"/>
      <c r="I319" s="57">
        <f>SUM(I293:I318)</f>
        <v>5297.9500000000007</v>
      </c>
    </row>
    <row r="320" spans="1:9" x14ac:dyDescent="0.25">
      <c r="A320" s="31"/>
      <c r="B320" s="31"/>
      <c r="C320" s="31"/>
      <c r="D320" s="78"/>
      <c r="E320" s="65"/>
      <c r="F320" s="30"/>
      <c r="G320" s="56"/>
      <c r="H320" s="30"/>
      <c r="I320" s="56"/>
    </row>
    <row r="321" spans="1:11" s="36" customFormat="1" x14ac:dyDescent="0.25">
      <c r="A321" s="34"/>
      <c r="B321" s="34"/>
      <c r="C321" s="34" t="s">
        <v>490</v>
      </c>
      <c r="D321" s="80"/>
      <c r="E321" s="67"/>
      <c r="F321" s="35"/>
      <c r="G321" s="59"/>
      <c r="H321" s="35"/>
      <c r="I321" s="59"/>
      <c r="K321" s="110"/>
    </row>
    <row r="322" spans="1:11" x14ac:dyDescent="0.25">
      <c r="A322" s="31" t="s">
        <v>273</v>
      </c>
      <c r="B322" s="31"/>
      <c r="C322" s="31" t="s">
        <v>446</v>
      </c>
      <c r="D322" s="78">
        <v>540</v>
      </c>
      <c r="E322" s="65" t="s">
        <v>554</v>
      </c>
      <c r="F322" s="30">
        <v>1.2</v>
      </c>
      <c r="G322" s="56">
        <f t="shared" si="46"/>
        <v>648</v>
      </c>
      <c r="H322" s="55">
        <v>0.98</v>
      </c>
      <c r="I322" s="56">
        <f t="shared" ref="I322:I388" si="50">$D322*H322</f>
        <v>529.20000000000005</v>
      </c>
    </row>
    <row r="323" spans="1:11" x14ac:dyDescent="0.25">
      <c r="A323" s="31" t="s">
        <v>274</v>
      </c>
      <c r="B323" s="31"/>
      <c r="C323" s="31" t="s">
        <v>447</v>
      </c>
      <c r="D323" s="78">
        <v>540</v>
      </c>
      <c r="E323" s="65" t="s">
        <v>554</v>
      </c>
      <c r="F323" s="30">
        <v>2.9</v>
      </c>
      <c r="G323" s="56">
        <f t="shared" si="46"/>
        <v>1566</v>
      </c>
      <c r="H323" s="55">
        <v>3.15</v>
      </c>
      <c r="I323" s="56">
        <f t="shared" si="50"/>
        <v>1701</v>
      </c>
    </row>
    <row r="324" spans="1:11" x14ac:dyDescent="0.25">
      <c r="A324" s="31" t="s">
        <v>275</v>
      </c>
      <c r="B324" s="31"/>
      <c r="C324" s="31" t="s">
        <v>482</v>
      </c>
      <c r="D324" s="78">
        <v>225</v>
      </c>
      <c r="E324" s="65" t="s">
        <v>556</v>
      </c>
      <c r="F324" s="30">
        <v>2.4</v>
      </c>
      <c r="G324" s="56">
        <f t="shared" si="46"/>
        <v>540</v>
      </c>
      <c r="H324" s="55">
        <v>2.36</v>
      </c>
      <c r="I324" s="56">
        <f t="shared" si="50"/>
        <v>531</v>
      </c>
    </row>
    <row r="325" spans="1:11" x14ac:dyDescent="0.25">
      <c r="A325" s="31" t="s">
        <v>276</v>
      </c>
      <c r="B325" s="31"/>
      <c r="C325" s="31" t="s">
        <v>483</v>
      </c>
      <c r="D325" s="78">
        <v>540</v>
      </c>
      <c r="E325" s="65" t="s">
        <v>554</v>
      </c>
      <c r="F325" s="30">
        <v>16.2</v>
      </c>
      <c r="G325" s="56">
        <f t="shared" si="46"/>
        <v>8748</v>
      </c>
      <c r="H325" s="55">
        <v>10.220000000000001</v>
      </c>
      <c r="I325" s="56">
        <f t="shared" si="50"/>
        <v>5518.8</v>
      </c>
    </row>
    <row r="326" spans="1:11" x14ac:dyDescent="0.25">
      <c r="A326" s="31" t="s">
        <v>277</v>
      </c>
      <c r="B326" s="31"/>
      <c r="C326" s="31" t="s">
        <v>484</v>
      </c>
      <c r="D326" s="78">
        <v>225</v>
      </c>
      <c r="E326" s="65" t="s">
        <v>556</v>
      </c>
      <c r="F326" s="30">
        <v>15.1</v>
      </c>
      <c r="G326" s="56">
        <f t="shared" si="46"/>
        <v>3397.5</v>
      </c>
      <c r="H326" s="55">
        <v>7.67</v>
      </c>
      <c r="I326" s="56">
        <f t="shared" si="50"/>
        <v>1725.75</v>
      </c>
    </row>
    <row r="327" spans="1:11" x14ac:dyDescent="0.25">
      <c r="A327" s="31" t="s">
        <v>278</v>
      </c>
      <c r="B327" s="31"/>
      <c r="C327" s="31" t="s">
        <v>452</v>
      </c>
      <c r="D327" s="78">
        <v>225</v>
      </c>
      <c r="E327" s="65" t="s">
        <v>556</v>
      </c>
      <c r="F327" s="30">
        <v>3.2</v>
      </c>
      <c r="G327" s="56">
        <f t="shared" si="46"/>
        <v>720</v>
      </c>
      <c r="H327" s="55">
        <v>3.78</v>
      </c>
      <c r="I327" s="56">
        <f t="shared" si="50"/>
        <v>850.5</v>
      </c>
    </row>
    <row r="328" spans="1:11" x14ac:dyDescent="0.25">
      <c r="A328" s="31" t="s">
        <v>279</v>
      </c>
      <c r="B328" s="31"/>
      <c r="C328" s="31" t="s">
        <v>541</v>
      </c>
      <c r="D328" s="78">
        <v>475</v>
      </c>
      <c r="E328" s="65" t="s">
        <v>554</v>
      </c>
      <c r="F328" s="30">
        <v>42.8</v>
      </c>
      <c r="G328" s="56">
        <f t="shared" si="46"/>
        <v>20330</v>
      </c>
      <c r="H328" s="55">
        <v>33.909999999999997</v>
      </c>
      <c r="I328" s="56">
        <f t="shared" si="50"/>
        <v>16107.249999999998</v>
      </c>
    </row>
    <row r="329" spans="1:11" x14ac:dyDescent="0.25">
      <c r="A329" s="31" t="s">
        <v>280</v>
      </c>
      <c r="B329" s="31"/>
      <c r="C329" s="31" t="s">
        <v>542</v>
      </c>
      <c r="D329" s="78">
        <v>65</v>
      </c>
      <c r="E329" s="65" t="s">
        <v>554</v>
      </c>
      <c r="F329" s="30">
        <v>49.9</v>
      </c>
      <c r="G329" s="56">
        <f t="shared" si="46"/>
        <v>3243.5</v>
      </c>
      <c r="H329" s="55">
        <v>27.31</v>
      </c>
      <c r="I329" s="56">
        <f t="shared" si="50"/>
        <v>1775.1499999999999</v>
      </c>
    </row>
    <row r="330" spans="1:11" x14ac:dyDescent="0.25">
      <c r="A330" s="31" t="s">
        <v>281</v>
      </c>
      <c r="B330" s="31"/>
      <c r="C330" s="31" t="s">
        <v>493</v>
      </c>
      <c r="D330" s="78">
        <v>225</v>
      </c>
      <c r="E330" s="65" t="s">
        <v>556</v>
      </c>
      <c r="F330" s="30">
        <v>19.899999999999999</v>
      </c>
      <c r="G330" s="56">
        <f t="shared" si="46"/>
        <v>4477.5</v>
      </c>
      <c r="H330" s="55">
        <v>29.34</v>
      </c>
      <c r="I330" s="56">
        <f t="shared" si="50"/>
        <v>6601.5</v>
      </c>
    </row>
    <row r="331" spans="1:11" x14ac:dyDescent="0.25">
      <c r="A331" s="31" t="s">
        <v>282</v>
      </c>
      <c r="B331" s="31"/>
      <c r="C331" s="31" t="s">
        <v>486</v>
      </c>
      <c r="D331" s="78">
        <v>540</v>
      </c>
      <c r="E331" s="65" t="s">
        <v>554</v>
      </c>
      <c r="F331" s="30">
        <v>16.2</v>
      </c>
      <c r="G331" s="56">
        <f t="shared" si="46"/>
        <v>8748</v>
      </c>
      <c r="H331" s="55">
        <v>12.58</v>
      </c>
      <c r="I331" s="56">
        <f t="shared" si="50"/>
        <v>6793.2</v>
      </c>
    </row>
    <row r="332" spans="1:11" x14ac:dyDescent="0.25">
      <c r="A332" s="31" t="s">
        <v>283</v>
      </c>
      <c r="B332" s="31"/>
      <c r="C332" s="31" t="s">
        <v>495</v>
      </c>
      <c r="D332" s="78">
        <v>225</v>
      </c>
      <c r="E332" s="65" t="s">
        <v>556</v>
      </c>
      <c r="F332" s="30">
        <v>29.9</v>
      </c>
      <c r="G332" s="56">
        <f t="shared" si="46"/>
        <v>6727.5</v>
      </c>
      <c r="H332" s="55">
        <v>5.66</v>
      </c>
      <c r="I332" s="56">
        <f t="shared" si="50"/>
        <v>1273.5</v>
      </c>
    </row>
    <row r="333" spans="1:11" x14ac:dyDescent="0.25">
      <c r="A333" s="31" t="s">
        <v>284</v>
      </c>
      <c r="B333" s="31"/>
      <c r="C333" s="31" t="s">
        <v>450</v>
      </c>
      <c r="D333" s="78">
        <v>540</v>
      </c>
      <c r="E333" s="65" t="s">
        <v>554</v>
      </c>
      <c r="F333" s="30">
        <v>19.899999999999999</v>
      </c>
      <c r="G333" s="56">
        <f t="shared" si="46"/>
        <v>10746</v>
      </c>
      <c r="H333" s="55">
        <v>17.2</v>
      </c>
      <c r="I333" s="56">
        <f t="shared" si="50"/>
        <v>9288</v>
      </c>
    </row>
    <row r="334" spans="1:11" x14ac:dyDescent="0.25">
      <c r="A334" s="31" t="s">
        <v>285</v>
      </c>
      <c r="B334" s="31"/>
      <c r="C334" s="31" t="s">
        <v>497</v>
      </c>
      <c r="D334" s="78">
        <v>225</v>
      </c>
      <c r="E334" s="65" t="s">
        <v>556</v>
      </c>
      <c r="F334" s="30">
        <v>35.4</v>
      </c>
      <c r="G334" s="56">
        <f t="shared" si="46"/>
        <v>7965</v>
      </c>
      <c r="H334" s="55">
        <v>7.74</v>
      </c>
      <c r="I334" s="56">
        <f t="shared" si="50"/>
        <v>1741.5</v>
      </c>
    </row>
    <row r="335" spans="1:11" x14ac:dyDescent="0.25">
      <c r="A335" s="31" t="s">
        <v>286</v>
      </c>
      <c r="B335" s="31"/>
      <c r="C335" s="31" t="s">
        <v>498</v>
      </c>
      <c r="D335" s="78">
        <v>540</v>
      </c>
      <c r="E335" s="65" t="s">
        <v>554</v>
      </c>
      <c r="F335" s="30">
        <v>26.8</v>
      </c>
      <c r="G335" s="56">
        <f t="shared" si="46"/>
        <v>14472</v>
      </c>
      <c r="H335" s="55">
        <v>17.2</v>
      </c>
      <c r="I335" s="56">
        <f t="shared" si="50"/>
        <v>9288</v>
      </c>
    </row>
    <row r="336" spans="1:11" x14ac:dyDescent="0.25">
      <c r="A336" s="31" t="s">
        <v>287</v>
      </c>
      <c r="B336" s="31"/>
      <c r="C336" s="31" t="s">
        <v>499</v>
      </c>
      <c r="D336" s="78">
        <v>540</v>
      </c>
      <c r="E336" s="65" t="s">
        <v>554</v>
      </c>
      <c r="F336" s="30">
        <v>2.2000000000000002</v>
      </c>
      <c r="G336" s="56">
        <f t="shared" si="46"/>
        <v>1188</v>
      </c>
      <c r="H336" s="55">
        <v>0.49</v>
      </c>
      <c r="I336" s="56">
        <f t="shared" si="50"/>
        <v>264.60000000000002</v>
      </c>
    </row>
    <row r="337" spans="1:11" x14ac:dyDescent="0.25">
      <c r="A337" s="31" t="s">
        <v>288</v>
      </c>
      <c r="B337" s="31"/>
      <c r="C337" s="31" t="s">
        <v>500</v>
      </c>
      <c r="D337" s="78">
        <v>540</v>
      </c>
      <c r="E337" s="65" t="s">
        <v>554</v>
      </c>
      <c r="F337" s="30">
        <v>7.2</v>
      </c>
      <c r="G337" s="56">
        <f t="shared" si="46"/>
        <v>3888</v>
      </c>
      <c r="H337" s="55">
        <v>2.6</v>
      </c>
      <c r="I337" s="56">
        <f t="shared" si="50"/>
        <v>1404</v>
      </c>
    </row>
    <row r="338" spans="1:11" x14ac:dyDescent="0.25">
      <c r="A338" s="31" t="s">
        <v>289</v>
      </c>
      <c r="B338" s="31"/>
      <c r="C338" s="31" t="s">
        <v>501</v>
      </c>
      <c r="D338" s="78">
        <v>540</v>
      </c>
      <c r="E338" s="65" t="s">
        <v>554</v>
      </c>
      <c r="F338" s="30">
        <v>13.8</v>
      </c>
      <c r="G338" s="56">
        <f t="shared" si="46"/>
        <v>7452</v>
      </c>
      <c r="H338" s="110">
        <v>14.75</v>
      </c>
      <c r="I338" s="56">
        <f t="shared" si="50"/>
        <v>7965</v>
      </c>
    </row>
    <row r="339" spans="1:11" x14ac:dyDescent="0.25">
      <c r="A339" s="37" t="s">
        <v>602</v>
      </c>
      <c r="B339" s="31"/>
      <c r="C339" s="31" t="s">
        <v>578</v>
      </c>
      <c r="D339" s="78">
        <v>540</v>
      </c>
      <c r="E339" s="65" t="s">
        <v>554</v>
      </c>
      <c r="F339" s="30">
        <v>18.2</v>
      </c>
      <c r="G339" s="58" t="s">
        <v>561</v>
      </c>
      <c r="H339" s="30"/>
      <c r="I339" s="58"/>
    </row>
    <row r="340" spans="1:11" x14ac:dyDescent="0.25">
      <c r="A340" s="31" t="s">
        <v>290</v>
      </c>
      <c r="B340" s="31"/>
      <c r="C340" s="31" t="s">
        <v>502</v>
      </c>
      <c r="D340" s="78">
        <v>540</v>
      </c>
      <c r="E340" s="65" t="s">
        <v>554</v>
      </c>
      <c r="F340" s="30">
        <v>16.2</v>
      </c>
      <c r="G340" s="56">
        <f t="shared" si="46"/>
        <v>8748</v>
      </c>
      <c r="H340" s="55">
        <v>5.5</v>
      </c>
      <c r="I340" s="56">
        <f t="shared" ref="I340:I406" si="51">$D340*H340</f>
        <v>2970</v>
      </c>
    </row>
    <row r="341" spans="1:11" x14ac:dyDescent="0.25">
      <c r="A341" s="31" t="s">
        <v>291</v>
      </c>
      <c r="B341" s="31"/>
      <c r="C341" s="31" t="s">
        <v>503</v>
      </c>
      <c r="D341" s="78">
        <v>540</v>
      </c>
      <c r="E341" s="65" t="s">
        <v>554</v>
      </c>
      <c r="F341" s="30">
        <v>128.80000000000001</v>
      </c>
      <c r="G341" s="56">
        <f t="shared" si="46"/>
        <v>69552</v>
      </c>
      <c r="H341" s="55">
        <v>88.47</v>
      </c>
      <c r="I341" s="56">
        <f t="shared" si="51"/>
        <v>47773.8</v>
      </c>
    </row>
    <row r="342" spans="1:11" x14ac:dyDescent="0.25">
      <c r="A342" s="31" t="s">
        <v>292</v>
      </c>
      <c r="B342" s="31"/>
      <c r="C342" s="31" t="s">
        <v>477</v>
      </c>
      <c r="D342" s="78">
        <v>169</v>
      </c>
      <c r="E342" s="65" t="s">
        <v>556</v>
      </c>
      <c r="F342" s="30">
        <v>6.8</v>
      </c>
      <c r="G342" s="56">
        <f t="shared" si="46"/>
        <v>1149.2</v>
      </c>
      <c r="H342" s="55">
        <v>21.77</v>
      </c>
      <c r="I342" s="56">
        <f t="shared" si="51"/>
        <v>3679.13</v>
      </c>
    </row>
    <row r="343" spans="1:11" x14ac:dyDescent="0.25">
      <c r="A343" s="31" t="s">
        <v>293</v>
      </c>
      <c r="B343" s="31"/>
      <c r="C343" s="31" t="s">
        <v>478</v>
      </c>
      <c r="D343" s="78">
        <v>56</v>
      </c>
      <c r="E343" s="65" t="s">
        <v>556</v>
      </c>
      <c r="F343" s="30">
        <v>85</v>
      </c>
      <c r="G343" s="56">
        <f t="shared" si="46"/>
        <v>4760</v>
      </c>
      <c r="H343" s="55">
        <v>59.47</v>
      </c>
      <c r="I343" s="56">
        <f t="shared" si="51"/>
        <v>3330.3199999999997</v>
      </c>
    </row>
    <row r="344" spans="1:11" x14ac:dyDescent="0.25">
      <c r="A344" s="31" t="s">
        <v>294</v>
      </c>
      <c r="B344" s="31"/>
      <c r="C344" s="31" t="s">
        <v>479</v>
      </c>
      <c r="D344" s="78">
        <v>56</v>
      </c>
      <c r="E344" s="65" t="s">
        <v>556</v>
      </c>
      <c r="F344" s="30">
        <v>129</v>
      </c>
      <c r="G344" s="56">
        <f t="shared" si="46"/>
        <v>7224</v>
      </c>
      <c r="H344" s="55">
        <v>132.71</v>
      </c>
      <c r="I344" s="56">
        <f t="shared" si="51"/>
        <v>7431.76</v>
      </c>
    </row>
    <row r="345" spans="1:11" x14ac:dyDescent="0.25">
      <c r="A345" s="31" t="s">
        <v>295</v>
      </c>
      <c r="B345" s="31"/>
      <c r="C345" s="31" t="s">
        <v>454</v>
      </c>
      <c r="D345" s="78">
        <v>10</v>
      </c>
      <c r="E345" s="65" t="s">
        <v>553</v>
      </c>
      <c r="F345" s="30">
        <v>580</v>
      </c>
      <c r="G345" s="56">
        <f t="shared" si="46"/>
        <v>5800</v>
      </c>
      <c r="H345" s="55">
        <v>491.5</v>
      </c>
      <c r="I345" s="56">
        <f t="shared" si="51"/>
        <v>4915</v>
      </c>
    </row>
    <row r="346" spans="1:11" x14ac:dyDescent="0.25">
      <c r="A346" s="31" t="s">
        <v>296</v>
      </c>
      <c r="B346" s="31"/>
      <c r="C346" s="31" t="s">
        <v>455</v>
      </c>
      <c r="D346" s="78">
        <v>10</v>
      </c>
      <c r="E346" s="65" t="s">
        <v>553</v>
      </c>
      <c r="F346" s="30">
        <v>580</v>
      </c>
      <c r="G346" s="56">
        <f t="shared" si="46"/>
        <v>5800</v>
      </c>
      <c r="H346" s="55">
        <v>442.35</v>
      </c>
      <c r="I346" s="56">
        <f t="shared" si="51"/>
        <v>4423.5</v>
      </c>
    </row>
    <row r="347" spans="1:11" x14ac:dyDescent="0.25">
      <c r="A347" s="31" t="s">
        <v>297</v>
      </c>
      <c r="B347" s="31"/>
      <c r="C347" s="31" t="s">
        <v>456</v>
      </c>
      <c r="D347" s="78">
        <v>5</v>
      </c>
      <c r="E347" s="65" t="s">
        <v>553</v>
      </c>
      <c r="F347" s="30">
        <v>320</v>
      </c>
      <c r="G347" s="56">
        <f t="shared" si="46"/>
        <v>1600</v>
      </c>
      <c r="H347" s="55">
        <v>98.3</v>
      </c>
      <c r="I347" s="56">
        <f t="shared" si="51"/>
        <v>491.5</v>
      </c>
    </row>
    <row r="348" spans="1:11" x14ac:dyDescent="0.25">
      <c r="A348" s="31" t="s">
        <v>298</v>
      </c>
      <c r="B348" s="31"/>
      <c r="C348" s="31" t="s">
        <v>457</v>
      </c>
      <c r="D348" s="78">
        <v>5</v>
      </c>
      <c r="E348" s="65" t="s">
        <v>553</v>
      </c>
      <c r="F348" s="30">
        <v>280</v>
      </c>
      <c r="G348" s="56">
        <f t="shared" si="46"/>
        <v>1400</v>
      </c>
      <c r="H348" s="55">
        <v>73.73</v>
      </c>
      <c r="I348" s="56">
        <f t="shared" si="51"/>
        <v>368.65000000000003</v>
      </c>
    </row>
    <row r="349" spans="1:11" x14ac:dyDescent="0.25">
      <c r="A349" s="31" t="s">
        <v>299</v>
      </c>
      <c r="B349" s="31" t="s">
        <v>432</v>
      </c>
      <c r="C349" s="31" t="s">
        <v>458</v>
      </c>
      <c r="D349" s="78">
        <v>1</v>
      </c>
      <c r="E349" s="65" t="s">
        <v>556</v>
      </c>
      <c r="F349" s="30">
        <v>380</v>
      </c>
      <c r="G349" s="58" t="s">
        <v>561</v>
      </c>
      <c r="H349" s="55">
        <v>78.64</v>
      </c>
      <c r="I349" s="58" t="s">
        <v>561</v>
      </c>
    </row>
    <row r="350" spans="1:11" x14ac:dyDescent="0.25">
      <c r="A350" s="31" t="s">
        <v>300</v>
      </c>
      <c r="B350" s="31"/>
      <c r="C350" s="31" t="s">
        <v>459</v>
      </c>
      <c r="D350" s="78">
        <v>540</v>
      </c>
      <c r="E350" s="65" t="s">
        <v>554</v>
      </c>
      <c r="F350" s="30"/>
      <c r="G350" s="56"/>
      <c r="H350" s="55">
        <v>2.95</v>
      </c>
      <c r="I350" s="56">
        <f t="shared" ref="I350:I417" si="52">$D350*H350</f>
        <v>1593</v>
      </c>
    </row>
    <row r="351" spans="1:11" x14ac:dyDescent="0.25">
      <c r="A351" s="37" t="s">
        <v>603</v>
      </c>
      <c r="B351" s="31"/>
      <c r="C351" s="31" t="s">
        <v>580</v>
      </c>
      <c r="D351" s="78">
        <v>1</v>
      </c>
      <c r="E351" s="65" t="s">
        <v>572</v>
      </c>
      <c r="F351" s="30">
        <v>1000</v>
      </c>
      <c r="G351" s="56">
        <f t="shared" si="46"/>
        <v>1000</v>
      </c>
      <c r="H351" s="30"/>
      <c r="I351" s="56"/>
    </row>
    <row r="352" spans="1:11" s="44" customFormat="1" x14ac:dyDescent="0.25">
      <c r="A352" s="38"/>
      <c r="B352" s="38"/>
      <c r="C352" s="38" t="s">
        <v>543</v>
      </c>
      <c r="D352" s="81"/>
      <c r="E352" s="68"/>
      <c r="F352" s="39"/>
      <c r="G352" s="60"/>
      <c r="H352" s="39"/>
      <c r="I352" s="60"/>
      <c r="K352" s="109"/>
    </row>
    <row r="353" spans="1:9" x14ac:dyDescent="0.25">
      <c r="A353" s="31" t="s">
        <v>301</v>
      </c>
      <c r="B353" s="31"/>
      <c r="C353" s="31" t="s">
        <v>446</v>
      </c>
      <c r="D353" s="78">
        <v>91</v>
      </c>
      <c r="E353" s="65" t="s">
        <v>554</v>
      </c>
      <c r="F353" s="30">
        <v>2.2000000000000002</v>
      </c>
      <c r="G353" s="56">
        <f t="shared" ref="G353:G421" si="53">$D353*F353</f>
        <v>200.20000000000002</v>
      </c>
      <c r="H353" s="55">
        <v>0.98</v>
      </c>
      <c r="I353" s="56">
        <f t="shared" ref="I353:I421" si="54">$D353*H353</f>
        <v>89.179999999999993</v>
      </c>
    </row>
    <row r="354" spans="1:9" x14ac:dyDescent="0.25">
      <c r="A354" s="31" t="s">
        <v>302</v>
      </c>
      <c r="B354" s="31"/>
      <c r="C354" s="31" t="s">
        <v>447</v>
      </c>
      <c r="D354" s="78">
        <v>91</v>
      </c>
      <c r="E354" s="65" t="s">
        <v>554</v>
      </c>
      <c r="F354" s="30">
        <v>3.4</v>
      </c>
      <c r="G354" s="56">
        <f t="shared" si="53"/>
        <v>309.39999999999998</v>
      </c>
      <c r="H354" s="55">
        <v>3.15</v>
      </c>
      <c r="I354" s="56">
        <f t="shared" si="54"/>
        <v>286.64999999999998</v>
      </c>
    </row>
    <row r="355" spans="1:9" x14ac:dyDescent="0.25">
      <c r="A355" s="31" t="s">
        <v>303</v>
      </c>
      <c r="B355" s="31"/>
      <c r="C355" s="31" t="s">
        <v>482</v>
      </c>
      <c r="D355" s="78">
        <v>45</v>
      </c>
      <c r="E355" s="65" t="s">
        <v>556</v>
      </c>
      <c r="F355" s="30">
        <v>2.4</v>
      </c>
      <c r="G355" s="56">
        <f t="shared" si="53"/>
        <v>108</v>
      </c>
      <c r="H355" s="55">
        <v>2.36</v>
      </c>
      <c r="I355" s="56">
        <f t="shared" si="54"/>
        <v>106.19999999999999</v>
      </c>
    </row>
    <row r="356" spans="1:9" x14ac:dyDescent="0.25">
      <c r="A356" s="31" t="s">
        <v>304</v>
      </c>
      <c r="B356" s="31"/>
      <c r="C356" s="31" t="s">
        <v>483</v>
      </c>
      <c r="D356" s="78">
        <v>91</v>
      </c>
      <c r="E356" s="65" t="s">
        <v>554</v>
      </c>
      <c r="F356" s="30">
        <v>16.8</v>
      </c>
      <c r="G356" s="56">
        <f t="shared" si="53"/>
        <v>1528.8</v>
      </c>
      <c r="H356" s="55">
        <v>10.220000000000001</v>
      </c>
      <c r="I356" s="56">
        <f t="shared" si="54"/>
        <v>930.0200000000001</v>
      </c>
    </row>
    <row r="357" spans="1:9" x14ac:dyDescent="0.25">
      <c r="A357" s="31" t="s">
        <v>305</v>
      </c>
      <c r="B357" s="31"/>
      <c r="C357" s="31" t="s">
        <v>484</v>
      </c>
      <c r="D357" s="78">
        <v>45</v>
      </c>
      <c r="E357" s="65" t="s">
        <v>556</v>
      </c>
      <c r="F357" s="30">
        <v>15.1</v>
      </c>
      <c r="G357" s="56">
        <f t="shared" si="53"/>
        <v>679.5</v>
      </c>
      <c r="H357" s="55">
        <v>7.67</v>
      </c>
      <c r="I357" s="56">
        <f t="shared" si="54"/>
        <v>345.15</v>
      </c>
    </row>
    <row r="358" spans="1:9" x14ac:dyDescent="0.25">
      <c r="A358" s="31" t="s">
        <v>306</v>
      </c>
      <c r="B358" s="31"/>
      <c r="C358" s="31" t="s">
        <v>452</v>
      </c>
      <c r="D358" s="78">
        <v>45</v>
      </c>
      <c r="E358" s="65" t="s">
        <v>556</v>
      </c>
      <c r="F358" s="30">
        <v>3.2</v>
      </c>
      <c r="G358" s="56">
        <f t="shared" si="53"/>
        <v>144</v>
      </c>
      <c r="H358" s="55">
        <v>3.78</v>
      </c>
      <c r="I358" s="56">
        <f t="shared" si="54"/>
        <v>170.1</v>
      </c>
    </row>
    <row r="359" spans="1:9" x14ac:dyDescent="0.25">
      <c r="A359" s="31" t="s">
        <v>307</v>
      </c>
      <c r="B359" s="31"/>
      <c r="C359" s="31" t="s">
        <v>485</v>
      </c>
      <c r="D359" s="78">
        <v>91</v>
      </c>
      <c r="E359" s="65" t="s">
        <v>554</v>
      </c>
      <c r="F359" s="30">
        <v>42.8</v>
      </c>
      <c r="G359" s="56">
        <f t="shared" si="53"/>
        <v>3894.7999999999997</v>
      </c>
      <c r="H359" s="55">
        <v>33.909999999999997</v>
      </c>
      <c r="I359" s="56">
        <f t="shared" si="54"/>
        <v>3085.8099999999995</v>
      </c>
    </row>
    <row r="360" spans="1:9" x14ac:dyDescent="0.25">
      <c r="A360" s="31" t="s">
        <v>308</v>
      </c>
      <c r="B360" s="31"/>
      <c r="C360" s="31" t="s">
        <v>493</v>
      </c>
      <c r="D360" s="78">
        <v>45</v>
      </c>
      <c r="E360" s="65" t="s">
        <v>556</v>
      </c>
      <c r="F360" s="30">
        <v>19.899999999999999</v>
      </c>
      <c r="G360" s="56">
        <f t="shared" si="53"/>
        <v>895.49999999999989</v>
      </c>
      <c r="H360" s="55">
        <v>29.34</v>
      </c>
      <c r="I360" s="56">
        <f t="shared" si="54"/>
        <v>1320.3</v>
      </c>
    </row>
    <row r="361" spans="1:9" x14ac:dyDescent="0.25">
      <c r="A361" s="31" t="s">
        <v>309</v>
      </c>
      <c r="B361" s="31"/>
      <c r="C361" s="31" t="s">
        <v>494</v>
      </c>
      <c r="D361" s="78">
        <v>91</v>
      </c>
      <c r="E361" s="65" t="s">
        <v>554</v>
      </c>
      <c r="F361" s="30">
        <v>16.2</v>
      </c>
      <c r="G361" s="56">
        <f t="shared" si="53"/>
        <v>1474.2</v>
      </c>
      <c r="H361" s="55">
        <v>12.58</v>
      </c>
      <c r="I361" s="56">
        <f t="shared" si="54"/>
        <v>1144.78</v>
      </c>
    </row>
    <row r="362" spans="1:9" x14ac:dyDescent="0.25">
      <c r="A362" s="31" t="s">
        <v>310</v>
      </c>
      <c r="B362" s="31"/>
      <c r="C362" s="31" t="s">
        <v>495</v>
      </c>
      <c r="D362" s="78">
        <v>45</v>
      </c>
      <c r="E362" s="65" t="s">
        <v>556</v>
      </c>
      <c r="F362" s="30">
        <v>29.9</v>
      </c>
      <c r="G362" s="56">
        <f t="shared" si="53"/>
        <v>1345.5</v>
      </c>
      <c r="H362" s="55">
        <v>5.66</v>
      </c>
      <c r="I362" s="56">
        <f t="shared" si="54"/>
        <v>254.70000000000002</v>
      </c>
    </row>
    <row r="363" spans="1:9" x14ac:dyDescent="0.25">
      <c r="A363" s="31" t="s">
        <v>311</v>
      </c>
      <c r="B363" s="31"/>
      <c r="C363" s="31" t="s">
        <v>496</v>
      </c>
      <c r="D363" s="78">
        <v>91</v>
      </c>
      <c r="E363" s="65" t="s">
        <v>554</v>
      </c>
      <c r="F363" s="30">
        <v>19.899999999999999</v>
      </c>
      <c r="G363" s="56">
        <f t="shared" si="53"/>
        <v>1810.8999999999999</v>
      </c>
      <c r="H363" s="55">
        <v>16.12</v>
      </c>
      <c r="I363" s="56">
        <f t="shared" si="54"/>
        <v>1466.92</v>
      </c>
    </row>
    <row r="364" spans="1:9" x14ac:dyDescent="0.25">
      <c r="A364" s="31" t="s">
        <v>312</v>
      </c>
      <c r="B364" s="31"/>
      <c r="C364" s="31" t="s">
        <v>497</v>
      </c>
      <c r="D364" s="78">
        <v>45</v>
      </c>
      <c r="E364" s="65" t="s">
        <v>556</v>
      </c>
      <c r="F364" s="30">
        <v>35.200000000000003</v>
      </c>
      <c r="G364" s="56">
        <f t="shared" si="53"/>
        <v>1584.0000000000002</v>
      </c>
      <c r="H364" s="55">
        <v>7.25</v>
      </c>
      <c r="I364" s="56">
        <f t="shared" si="54"/>
        <v>326.25</v>
      </c>
    </row>
    <row r="365" spans="1:9" x14ac:dyDescent="0.25">
      <c r="A365" s="31" t="s">
        <v>313</v>
      </c>
      <c r="B365" s="31"/>
      <c r="C365" s="31" t="s">
        <v>498</v>
      </c>
      <c r="D365" s="78">
        <v>91</v>
      </c>
      <c r="E365" s="65" t="s">
        <v>554</v>
      </c>
      <c r="F365" s="30">
        <v>26.8</v>
      </c>
      <c r="G365" s="56">
        <f t="shared" si="53"/>
        <v>2438.8000000000002</v>
      </c>
      <c r="H365" s="55">
        <v>17.2</v>
      </c>
      <c r="I365" s="56">
        <f t="shared" si="54"/>
        <v>1565.2</v>
      </c>
    </row>
    <row r="366" spans="1:9" x14ac:dyDescent="0.25">
      <c r="A366" s="31" t="s">
        <v>314</v>
      </c>
      <c r="B366" s="31"/>
      <c r="C366" s="31" t="s">
        <v>499</v>
      </c>
      <c r="D366" s="78">
        <v>91</v>
      </c>
      <c r="E366" s="65" t="s">
        <v>554</v>
      </c>
      <c r="F366" s="30">
        <v>2.2000000000000002</v>
      </c>
      <c r="G366" s="56">
        <f t="shared" si="53"/>
        <v>200.20000000000002</v>
      </c>
      <c r="H366" s="55">
        <v>0.49</v>
      </c>
      <c r="I366" s="56">
        <f t="shared" si="54"/>
        <v>44.589999999999996</v>
      </c>
    </row>
    <row r="367" spans="1:9" x14ac:dyDescent="0.25">
      <c r="A367" s="31" t="s">
        <v>315</v>
      </c>
      <c r="B367" s="31"/>
      <c r="C367" s="31" t="s">
        <v>500</v>
      </c>
      <c r="D367" s="78">
        <v>91</v>
      </c>
      <c r="E367" s="65" t="s">
        <v>554</v>
      </c>
      <c r="F367" s="30">
        <v>7.2</v>
      </c>
      <c r="G367" s="56">
        <f t="shared" si="53"/>
        <v>655.20000000000005</v>
      </c>
      <c r="H367" s="55">
        <v>2.6</v>
      </c>
      <c r="I367" s="56">
        <f t="shared" si="54"/>
        <v>236.6</v>
      </c>
    </row>
    <row r="368" spans="1:9" x14ac:dyDescent="0.25">
      <c r="A368" s="31" t="s">
        <v>316</v>
      </c>
      <c r="B368" s="31"/>
      <c r="C368" s="31" t="s">
        <v>544</v>
      </c>
      <c r="D368" s="78">
        <v>91</v>
      </c>
      <c r="E368" s="65" t="s">
        <v>554</v>
      </c>
      <c r="F368" s="30">
        <v>17.899999999999999</v>
      </c>
      <c r="G368" s="56">
        <f t="shared" si="53"/>
        <v>1628.8999999999999</v>
      </c>
      <c r="H368" s="55">
        <v>14.75</v>
      </c>
      <c r="I368" s="56">
        <f t="shared" si="54"/>
        <v>1342.25</v>
      </c>
    </row>
    <row r="369" spans="1:11" x14ac:dyDescent="0.25">
      <c r="A369" s="31" t="s">
        <v>317</v>
      </c>
      <c r="B369" s="31"/>
      <c r="C369" s="31" t="s">
        <v>465</v>
      </c>
      <c r="D369" s="78">
        <v>91</v>
      </c>
      <c r="E369" s="65" t="s">
        <v>554</v>
      </c>
      <c r="F369" s="30">
        <v>6.3</v>
      </c>
      <c r="G369" s="56">
        <f t="shared" si="53"/>
        <v>573.29999999999995</v>
      </c>
      <c r="H369" s="55">
        <v>5.31</v>
      </c>
      <c r="I369" s="56">
        <f t="shared" si="54"/>
        <v>483.21</v>
      </c>
    </row>
    <row r="370" spans="1:11" x14ac:dyDescent="0.25">
      <c r="A370" s="31" t="s">
        <v>318</v>
      </c>
      <c r="B370" s="31"/>
      <c r="C370" s="31" t="s">
        <v>545</v>
      </c>
      <c r="D370" s="78">
        <v>91</v>
      </c>
      <c r="E370" s="65" t="s">
        <v>554</v>
      </c>
      <c r="F370" s="30">
        <v>16.2</v>
      </c>
      <c r="G370" s="56">
        <f t="shared" si="53"/>
        <v>1474.2</v>
      </c>
      <c r="H370" s="55">
        <v>4.37</v>
      </c>
      <c r="I370" s="56">
        <f t="shared" si="54"/>
        <v>397.67</v>
      </c>
    </row>
    <row r="371" spans="1:11" x14ac:dyDescent="0.25">
      <c r="A371" s="31" t="s">
        <v>319</v>
      </c>
      <c r="B371" s="31"/>
      <c r="C371" s="31" t="s">
        <v>546</v>
      </c>
      <c r="D371" s="78">
        <v>91</v>
      </c>
      <c r="E371" s="65" t="s">
        <v>554</v>
      </c>
      <c r="F371" s="30">
        <v>18.2</v>
      </c>
      <c r="G371" s="56">
        <f t="shared" si="53"/>
        <v>1656.2</v>
      </c>
      <c r="H371" s="111">
        <v>4.47</v>
      </c>
      <c r="I371" s="56">
        <f t="shared" si="54"/>
        <v>406.77</v>
      </c>
    </row>
    <row r="372" spans="1:11" x14ac:dyDescent="0.25">
      <c r="A372" s="31" t="s">
        <v>320</v>
      </c>
      <c r="B372" s="31"/>
      <c r="C372" s="31" t="s">
        <v>468</v>
      </c>
      <c r="D372" s="78">
        <v>91</v>
      </c>
      <c r="E372" s="65" t="s">
        <v>554</v>
      </c>
      <c r="F372" s="30">
        <v>8.9</v>
      </c>
      <c r="G372" s="56">
        <f t="shared" si="53"/>
        <v>809.9</v>
      </c>
      <c r="H372" s="55">
        <v>4.28</v>
      </c>
      <c r="I372" s="56">
        <f t="shared" si="54"/>
        <v>389.48</v>
      </c>
    </row>
    <row r="373" spans="1:11" x14ac:dyDescent="0.25">
      <c r="A373" s="31" t="s">
        <v>321</v>
      </c>
      <c r="B373" s="31"/>
      <c r="C373" s="31" t="s">
        <v>469</v>
      </c>
      <c r="D373" s="78">
        <v>91</v>
      </c>
      <c r="E373" s="65" t="s">
        <v>554</v>
      </c>
      <c r="F373" s="30">
        <v>4.8</v>
      </c>
      <c r="G373" s="56">
        <f t="shared" si="53"/>
        <v>436.8</v>
      </c>
      <c r="H373" s="55">
        <v>1.72</v>
      </c>
      <c r="I373" s="56">
        <f t="shared" si="54"/>
        <v>156.52000000000001</v>
      </c>
    </row>
    <row r="374" spans="1:11" x14ac:dyDescent="0.25">
      <c r="A374" s="31" t="s">
        <v>322</v>
      </c>
      <c r="B374" s="31"/>
      <c r="C374" s="31" t="s">
        <v>470</v>
      </c>
      <c r="D374" s="78">
        <v>91</v>
      </c>
      <c r="E374" s="65" t="s">
        <v>554</v>
      </c>
      <c r="F374" s="30">
        <v>3.2</v>
      </c>
      <c r="G374" s="56">
        <f t="shared" si="53"/>
        <v>291.2</v>
      </c>
      <c r="H374" s="55">
        <v>4.62</v>
      </c>
      <c r="I374" s="56">
        <f t="shared" si="54"/>
        <v>420.42</v>
      </c>
    </row>
    <row r="375" spans="1:11" x14ac:dyDescent="0.25">
      <c r="A375" s="31" t="s">
        <v>323</v>
      </c>
      <c r="B375" s="31"/>
      <c r="C375" s="31" t="s">
        <v>454</v>
      </c>
      <c r="D375" s="78">
        <v>2</v>
      </c>
      <c r="E375" s="65" t="s">
        <v>553</v>
      </c>
      <c r="F375" s="30">
        <v>580</v>
      </c>
      <c r="G375" s="56">
        <f t="shared" si="53"/>
        <v>1160</v>
      </c>
      <c r="H375" s="55">
        <v>491.5</v>
      </c>
      <c r="I375" s="56">
        <f t="shared" si="54"/>
        <v>983</v>
      </c>
    </row>
    <row r="376" spans="1:11" x14ac:dyDescent="0.25">
      <c r="A376" s="31" t="s">
        <v>324</v>
      </c>
      <c r="B376" s="31"/>
      <c r="C376" s="31" t="s">
        <v>455</v>
      </c>
      <c r="D376" s="78">
        <v>2</v>
      </c>
      <c r="E376" s="65" t="s">
        <v>553</v>
      </c>
      <c r="F376" s="30">
        <v>580</v>
      </c>
      <c r="G376" s="56">
        <f t="shared" si="53"/>
        <v>1160</v>
      </c>
      <c r="H376" s="55">
        <v>442.35</v>
      </c>
      <c r="I376" s="56">
        <f t="shared" si="54"/>
        <v>884.7</v>
      </c>
    </row>
    <row r="377" spans="1:11" x14ac:dyDescent="0.25">
      <c r="A377" s="31" t="s">
        <v>325</v>
      </c>
      <c r="B377" s="31" t="s">
        <v>432</v>
      </c>
      <c r="C377" s="31" t="s">
        <v>456</v>
      </c>
      <c r="D377" s="78">
        <v>1</v>
      </c>
      <c r="E377" s="65" t="s">
        <v>553</v>
      </c>
      <c r="F377" s="30">
        <v>320</v>
      </c>
      <c r="G377" s="58" t="s">
        <v>561</v>
      </c>
      <c r="H377" s="55">
        <v>98.3</v>
      </c>
      <c r="I377" s="58" t="s">
        <v>561</v>
      </c>
    </row>
    <row r="378" spans="1:11" x14ac:dyDescent="0.25">
      <c r="A378" s="31" t="s">
        <v>326</v>
      </c>
      <c r="B378" s="31" t="s">
        <v>432</v>
      </c>
      <c r="C378" s="31" t="s">
        <v>457</v>
      </c>
      <c r="D378" s="78">
        <v>1</v>
      </c>
      <c r="E378" s="65" t="s">
        <v>553</v>
      </c>
      <c r="F378" s="30">
        <v>280</v>
      </c>
      <c r="G378" s="58" t="s">
        <v>561</v>
      </c>
      <c r="H378" s="55">
        <v>73.73</v>
      </c>
      <c r="I378" s="58" t="s">
        <v>561</v>
      </c>
    </row>
    <row r="379" spans="1:11" x14ac:dyDescent="0.25">
      <c r="A379" s="31" t="s">
        <v>327</v>
      </c>
      <c r="B379" s="31" t="s">
        <v>432</v>
      </c>
      <c r="C379" s="31" t="s">
        <v>458</v>
      </c>
      <c r="D379" s="78">
        <v>1</v>
      </c>
      <c r="E379" s="65" t="s">
        <v>556</v>
      </c>
      <c r="F379" s="30">
        <v>75</v>
      </c>
      <c r="G379" s="58" t="s">
        <v>561</v>
      </c>
      <c r="H379" s="55">
        <v>78.64</v>
      </c>
      <c r="I379" s="58" t="s">
        <v>561</v>
      </c>
    </row>
    <row r="380" spans="1:11" x14ac:dyDescent="0.25">
      <c r="A380" s="31" t="s">
        <v>328</v>
      </c>
      <c r="B380" s="31"/>
      <c r="C380" s="31" t="s">
        <v>459</v>
      </c>
      <c r="D380" s="78">
        <v>91</v>
      </c>
      <c r="E380" s="65" t="s">
        <v>554</v>
      </c>
      <c r="F380" s="30"/>
      <c r="G380" s="56"/>
      <c r="H380" s="55">
        <v>2.95</v>
      </c>
      <c r="I380" s="56">
        <f t="shared" ref="I380:I449" si="55">$D380*H380</f>
        <v>268.45</v>
      </c>
    </row>
    <row r="381" spans="1:11" x14ac:dyDescent="0.25">
      <c r="A381" s="37" t="s">
        <v>604</v>
      </c>
      <c r="B381" s="31"/>
      <c r="C381" s="31" t="s">
        <v>580</v>
      </c>
      <c r="D381" s="78">
        <v>1</v>
      </c>
      <c r="E381" s="65" t="s">
        <v>572</v>
      </c>
      <c r="F381" s="30">
        <v>250</v>
      </c>
      <c r="G381" s="56">
        <f t="shared" si="53"/>
        <v>250</v>
      </c>
      <c r="H381" s="30"/>
      <c r="I381" s="56"/>
    </row>
    <row r="382" spans="1:11" x14ac:dyDescent="0.25">
      <c r="A382" s="32" t="s">
        <v>272</v>
      </c>
      <c r="B382" s="32"/>
      <c r="C382" s="32" t="s">
        <v>489</v>
      </c>
      <c r="D382" s="79"/>
      <c r="E382" s="66"/>
      <c r="F382" s="33"/>
      <c r="G382" s="57">
        <f>SUM(G322:G381)</f>
        <v>238599.7</v>
      </c>
      <c r="H382" s="33"/>
      <c r="I382" s="57">
        <f>SUM(I322:I381)</f>
        <v>167439.53000000006</v>
      </c>
    </row>
    <row r="383" spans="1:11" x14ac:dyDescent="0.25">
      <c r="A383" s="31"/>
      <c r="B383" s="31"/>
      <c r="C383" s="31"/>
      <c r="D383" s="78"/>
      <c r="E383" s="65"/>
      <c r="F383" s="30"/>
      <c r="G383" s="56"/>
      <c r="H383" s="30"/>
      <c r="I383" s="56"/>
    </row>
    <row r="384" spans="1:11" s="36" customFormat="1" x14ac:dyDescent="0.25">
      <c r="A384" s="34"/>
      <c r="B384" s="34"/>
      <c r="C384" s="34" t="s">
        <v>547</v>
      </c>
      <c r="D384" s="80"/>
      <c r="E384" s="67"/>
      <c r="F384" s="35"/>
      <c r="G384" s="59"/>
      <c r="H384" s="35"/>
      <c r="I384" s="59"/>
      <c r="K384" s="107"/>
    </row>
    <row r="385" spans="1:9" x14ac:dyDescent="0.25">
      <c r="A385" s="31" t="s">
        <v>330</v>
      </c>
      <c r="B385" s="31"/>
      <c r="C385" s="31" t="s">
        <v>446</v>
      </c>
      <c r="D385" s="78">
        <v>144</v>
      </c>
      <c r="E385" s="65" t="s">
        <v>554</v>
      </c>
      <c r="F385" s="30">
        <v>2.8</v>
      </c>
      <c r="G385" s="56">
        <f t="shared" si="53"/>
        <v>403.2</v>
      </c>
      <c r="H385" s="55">
        <v>0.98</v>
      </c>
      <c r="I385" s="56">
        <f t="shared" ref="I385:I453" si="56">$D385*H385</f>
        <v>141.12</v>
      </c>
    </row>
    <row r="386" spans="1:9" x14ac:dyDescent="0.25">
      <c r="A386" s="31" t="s">
        <v>331</v>
      </c>
      <c r="B386" s="31"/>
      <c r="C386" s="31" t="s">
        <v>447</v>
      </c>
      <c r="D386" s="78">
        <v>144</v>
      </c>
      <c r="E386" s="65" t="s">
        <v>554</v>
      </c>
      <c r="F386" s="30">
        <v>4.2</v>
      </c>
      <c r="G386" s="56">
        <f t="shared" si="53"/>
        <v>604.80000000000007</v>
      </c>
      <c r="H386" s="55">
        <v>3.15</v>
      </c>
      <c r="I386" s="56">
        <f t="shared" si="56"/>
        <v>453.59999999999997</v>
      </c>
    </row>
    <row r="387" spans="1:9" x14ac:dyDescent="0.25">
      <c r="A387" s="31" t="s">
        <v>332</v>
      </c>
      <c r="B387" s="31"/>
      <c r="C387" s="31" t="s">
        <v>516</v>
      </c>
      <c r="D387" s="78">
        <v>175</v>
      </c>
      <c r="E387" s="65" t="s">
        <v>556</v>
      </c>
      <c r="F387" s="30">
        <v>3.8</v>
      </c>
      <c r="G387" s="56">
        <f t="shared" si="53"/>
        <v>665</v>
      </c>
      <c r="H387" s="55">
        <v>1.42</v>
      </c>
      <c r="I387" s="56">
        <f t="shared" si="56"/>
        <v>248.5</v>
      </c>
    </row>
    <row r="388" spans="1:9" x14ac:dyDescent="0.25">
      <c r="A388" s="31" t="s">
        <v>333</v>
      </c>
      <c r="B388" s="31"/>
      <c r="C388" s="31" t="s">
        <v>449</v>
      </c>
      <c r="D388" s="78">
        <v>144</v>
      </c>
      <c r="E388" s="65" t="s">
        <v>554</v>
      </c>
      <c r="F388" s="30">
        <v>19.899999999999999</v>
      </c>
      <c r="G388" s="56">
        <f t="shared" si="53"/>
        <v>2865.6</v>
      </c>
      <c r="H388" s="55">
        <v>16.22</v>
      </c>
      <c r="I388" s="56">
        <f t="shared" si="56"/>
        <v>2335.6799999999998</v>
      </c>
    </row>
    <row r="389" spans="1:9" x14ac:dyDescent="0.25">
      <c r="A389" s="37" t="s">
        <v>605</v>
      </c>
      <c r="B389" s="31"/>
      <c r="C389" s="31" t="s">
        <v>607</v>
      </c>
      <c r="D389" s="78">
        <v>144</v>
      </c>
      <c r="E389" s="65" t="s">
        <v>554</v>
      </c>
      <c r="F389" s="30">
        <v>22.4</v>
      </c>
      <c r="G389" s="58" t="s">
        <v>561</v>
      </c>
      <c r="H389" s="30"/>
      <c r="I389" s="58"/>
    </row>
    <row r="390" spans="1:9" x14ac:dyDescent="0.25">
      <c r="A390" s="31" t="s">
        <v>334</v>
      </c>
      <c r="B390" s="31"/>
      <c r="C390" s="31" t="s">
        <v>450</v>
      </c>
      <c r="D390" s="78">
        <v>144</v>
      </c>
      <c r="E390" s="65" t="s">
        <v>554</v>
      </c>
      <c r="F390" s="30">
        <v>21.4</v>
      </c>
      <c r="G390" s="56">
        <f t="shared" si="53"/>
        <v>3081.6</v>
      </c>
      <c r="H390" s="55">
        <v>17.2</v>
      </c>
      <c r="I390" s="56">
        <f t="shared" ref="I390:I458" si="57">$D390*H390</f>
        <v>2476.7999999999997</v>
      </c>
    </row>
    <row r="391" spans="1:9" x14ac:dyDescent="0.25">
      <c r="A391" s="37" t="s">
        <v>606</v>
      </c>
      <c r="B391" s="31"/>
      <c r="C391" s="31" t="s">
        <v>607</v>
      </c>
      <c r="D391" s="78">
        <v>144</v>
      </c>
      <c r="E391" s="65" t="s">
        <v>554</v>
      </c>
      <c r="F391" s="30">
        <v>23.4</v>
      </c>
      <c r="G391" s="58" t="s">
        <v>561</v>
      </c>
      <c r="H391" s="30"/>
      <c r="I391" s="58"/>
    </row>
    <row r="392" spans="1:9" x14ac:dyDescent="0.25">
      <c r="A392" s="31" t="s">
        <v>335</v>
      </c>
      <c r="B392" s="31"/>
      <c r="C392" s="31" t="s">
        <v>487</v>
      </c>
      <c r="D392" s="78">
        <v>175</v>
      </c>
      <c r="E392" s="65" t="s">
        <v>556</v>
      </c>
      <c r="F392" s="30">
        <v>75</v>
      </c>
      <c r="G392" s="56">
        <f t="shared" si="53"/>
        <v>13125</v>
      </c>
      <c r="H392" s="55">
        <v>15.04</v>
      </c>
      <c r="I392" s="56">
        <f t="shared" ref="I392:I460" si="58">$D392*H392</f>
        <v>2632</v>
      </c>
    </row>
    <row r="393" spans="1:9" x14ac:dyDescent="0.25">
      <c r="A393" s="37" t="s">
        <v>608</v>
      </c>
      <c r="B393" s="31"/>
      <c r="C393" s="31" t="s">
        <v>607</v>
      </c>
      <c r="D393" s="78">
        <v>175</v>
      </c>
      <c r="E393" s="65" t="s">
        <v>556</v>
      </c>
      <c r="F393" s="30">
        <v>105</v>
      </c>
      <c r="G393" s="58" t="s">
        <v>561</v>
      </c>
      <c r="H393" s="30"/>
      <c r="I393" s="58"/>
    </row>
    <row r="394" spans="1:9" x14ac:dyDescent="0.25">
      <c r="A394" s="31" t="s">
        <v>336</v>
      </c>
      <c r="B394" s="31"/>
      <c r="C394" s="31" t="s">
        <v>517</v>
      </c>
      <c r="D394" s="78">
        <v>144</v>
      </c>
      <c r="E394" s="65" t="s">
        <v>554</v>
      </c>
      <c r="F394" s="30"/>
      <c r="G394" s="89" t="s">
        <v>617</v>
      </c>
      <c r="H394" s="55">
        <v>34.409999999999997</v>
      </c>
      <c r="I394" s="56">
        <f t="shared" ref="I394" si="59">$D394*H394</f>
        <v>4955.0399999999991</v>
      </c>
    </row>
    <row r="395" spans="1:9" x14ac:dyDescent="0.25">
      <c r="A395" s="31" t="s">
        <v>337</v>
      </c>
      <c r="B395" s="31"/>
      <c r="C395" s="31" t="s">
        <v>511</v>
      </c>
      <c r="D395" s="78">
        <v>144</v>
      </c>
      <c r="E395" s="65" t="s">
        <v>554</v>
      </c>
      <c r="F395" s="30">
        <v>128.80000000000001</v>
      </c>
      <c r="G395" s="56">
        <f t="shared" si="53"/>
        <v>18547.2</v>
      </c>
      <c r="H395" s="55">
        <v>88.47</v>
      </c>
      <c r="I395" s="56">
        <f t="shared" ref="I395:I463" si="60">$D395*H395</f>
        <v>12739.68</v>
      </c>
    </row>
    <row r="396" spans="1:9" x14ac:dyDescent="0.25">
      <c r="A396" s="31" t="s">
        <v>338</v>
      </c>
      <c r="B396" s="31"/>
      <c r="C396" s="31" t="s">
        <v>548</v>
      </c>
      <c r="D396" s="78">
        <v>132</v>
      </c>
      <c r="E396" s="65" t="s">
        <v>554</v>
      </c>
      <c r="F396" s="30">
        <v>49.9</v>
      </c>
      <c r="G396" s="56">
        <f t="shared" si="53"/>
        <v>6586.8</v>
      </c>
      <c r="H396" s="55">
        <v>29.49</v>
      </c>
      <c r="I396" s="56">
        <f t="shared" si="60"/>
        <v>3892.68</v>
      </c>
    </row>
    <row r="397" spans="1:9" x14ac:dyDescent="0.25">
      <c r="A397" s="31" t="s">
        <v>339</v>
      </c>
      <c r="B397" s="31"/>
      <c r="C397" s="31" t="s">
        <v>549</v>
      </c>
      <c r="D397" s="78">
        <v>12</v>
      </c>
      <c r="E397" s="65" t="s">
        <v>554</v>
      </c>
      <c r="F397" s="30">
        <v>49.9</v>
      </c>
      <c r="G397" s="56">
        <f t="shared" si="53"/>
        <v>598.79999999999995</v>
      </c>
      <c r="H397" s="55">
        <v>39.32</v>
      </c>
      <c r="I397" s="56">
        <f t="shared" si="60"/>
        <v>471.84000000000003</v>
      </c>
    </row>
    <row r="398" spans="1:9" x14ac:dyDescent="0.25">
      <c r="A398" s="31" t="s">
        <v>340</v>
      </c>
      <c r="B398" s="31"/>
      <c r="C398" s="31" t="s">
        <v>477</v>
      </c>
      <c r="D398" s="78">
        <v>88</v>
      </c>
      <c r="E398" s="65" t="s">
        <v>556</v>
      </c>
      <c r="F398" s="30">
        <v>6.8</v>
      </c>
      <c r="G398" s="56">
        <f t="shared" si="53"/>
        <v>598.4</v>
      </c>
      <c r="H398" s="55">
        <v>21.77</v>
      </c>
      <c r="I398" s="56">
        <f t="shared" si="60"/>
        <v>1915.76</v>
      </c>
    </row>
    <row r="399" spans="1:9" x14ac:dyDescent="0.25">
      <c r="A399" s="31" t="s">
        <v>341</v>
      </c>
      <c r="B399" s="31"/>
      <c r="C399" s="31" t="s">
        <v>478</v>
      </c>
      <c r="D399" s="78">
        <v>52</v>
      </c>
      <c r="E399" s="65" t="s">
        <v>556</v>
      </c>
      <c r="F399" s="30">
        <v>85</v>
      </c>
      <c r="G399" s="56">
        <f t="shared" si="53"/>
        <v>4420</v>
      </c>
      <c r="H399" s="55">
        <v>59.47</v>
      </c>
      <c r="I399" s="56">
        <f t="shared" si="60"/>
        <v>3092.44</v>
      </c>
    </row>
    <row r="400" spans="1:9" x14ac:dyDescent="0.25">
      <c r="A400" s="31" t="s">
        <v>342</v>
      </c>
      <c r="B400" s="31"/>
      <c r="C400" s="31" t="s">
        <v>479</v>
      </c>
      <c r="D400" s="78">
        <v>52</v>
      </c>
      <c r="E400" s="65" t="s">
        <v>556</v>
      </c>
      <c r="F400" s="30">
        <v>129</v>
      </c>
      <c r="G400" s="56">
        <f t="shared" si="53"/>
        <v>6708</v>
      </c>
      <c r="H400" s="55">
        <v>132.71</v>
      </c>
      <c r="I400" s="56">
        <f t="shared" si="60"/>
        <v>6900.92</v>
      </c>
    </row>
    <row r="401" spans="1:11" x14ac:dyDescent="0.25">
      <c r="A401" s="31" t="s">
        <v>343</v>
      </c>
      <c r="B401" s="31"/>
      <c r="C401" s="31" t="s">
        <v>454</v>
      </c>
      <c r="D401" s="78">
        <v>10</v>
      </c>
      <c r="E401" s="65" t="s">
        <v>553</v>
      </c>
      <c r="F401" s="30">
        <v>580</v>
      </c>
      <c r="G401" s="56">
        <f t="shared" si="53"/>
        <v>5800</v>
      </c>
      <c r="H401" s="55">
        <v>491.5</v>
      </c>
      <c r="I401" s="56">
        <f t="shared" si="60"/>
        <v>4915</v>
      </c>
    </row>
    <row r="402" spans="1:11" x14ac:dyDescent="0.25">
      <c r="A402" s="31" t="s">
        <v>344</v>
      </c>
      <c r="B402" s="31"/>
      <c r="C402" s="31" t="s">
        <v>455</v>
      </c>
      <c r="D402" s="78">
        <v>10</v>
      </c>
      <c r="E402" s="65" t="s">
        <v>553</v>
      </c>
      <c r="F402" s="30">
        <v>580</v>
      </c>
      <c r="G402" s="56">
        <f t="shared" si="53"/>
        <v>5800</v>
      </c>
      <c r="H402" s="55">
        <v>442.35</v>
      </c>
      <c r="I402" s="56">
        <f t="shared" si="60"/>
        <v>4423.5</v>
      </c>
    </row>
    <row r="403" spans="1:11" x14ac:dyDescent="0.25">
      <c r="A403" s="31" t="s">
        <v>345</v>
      </c>
      <c r="B403" s="31" t="s">
        <v>432</v>
      </c>
      <c r="C403" s="31" t="s">
        <v>456</v>
      </c>
      <c r="D403" s="78">
        <v>1</v>
      </c>
      <c r="E403" s="65" t="s">
        <v>553</v>
      </c>
      <c r="F403" s="30">
        <v>320</v>
      </c>
      <c r="G403" s="58" t="s">
        <v>561</v>
      </c>
      <c r="H403" s="55">
        <v>98.3</v>
      </c>
      <c r="I403" s="58" t="s">
        <v>561</v>
      </c>
    </row>
    <row r="404" spans="1:11" x14ac:dyDescent="0.25">
      <c r="A404" s="31" t="s">
        <v>346</v>
      </c>
      <c r="B404" s="31" t="s">
        <v>432</v>
      </c>
      <c r="C404" s="31" t="s">
        <v>457</v>
      </c>
      <c r="D404" s="78">
        <v>1</v>
      </c>
      <c r="E404" s="65" t="s">
        <v>553</v>
      </c>
      <c r="F404" s="30">
        <v>280</v>
      </c>
      <c r="G404" s="58" t="s">
        <v>561</v>
      </c>
      <c r="H404" s="55">
        <v>73.73</v>
      </c>
      <c r="I404" s="58" t="s">
        <v>561</v>
      </c>
    </row>
    <row r="405" spans="1:11" x14ac:dyDescent="0.25">
      <c r="A405" s="31" t="s">
        <v>347</v>
      </c>
      <c r="B405" s="31" t="s">
        <v>432</v>
      </c>
      <c r="C405" s="31" t="s">
        <v>458</v>
      </c>
      <c r="D405" s="78">
        <v>1</v>
      </c>
      <c r="E405" s="65" t="s">
        <v>556</v>
      </c>
      <c r="F405" s="30">
        <v>75</v>
      </c>
      <c r="G405" s="58" t="s">
        <v>561</v>
      </c>
      <c r="H405" s="55">
        <v>78.64</v>
      </c>
      <c r="I405" s="58" t="s">
        <v>561</v>
      </c>
    </row>
    <row r="406" spans="1:11" x14ac:dyDescent="0.25">
      <c r="A406" s="31" t="s">
        <v>348</v>
      </c>
      <c r="B406" s="31"/>
      <c r="C406" s="31" t="s">
        <v>459</v>
      </c>
      <c r="D406" s="78">
        <v>144</v>
      </c>
      <c r="E406" s="65" t="s">
        <v>554</v>
      </c>
      <c r="F406" s="30"/>
      <c r="G406" s="56"/>
      <c r="H406" s="55">
        <v>2.95</v>
      </c>
      <c r="I406" s="56">
        <f t="shared" ref="I406:I475" si="61">$D406*H406</f>
        <v>424.8</v>
      </c>
    </row>
    <row r="407" spans="1:11" x14ac:dyDescent="0.25">
      <c r="A407" s="37" t="s">
        <v>609</v>
      </c>
      <c r="B407" s="31"/>
      <c r="C407" s="31" t="s">
        <v>580</v>
      </c>
      <c r="D407" s="78">
        <v>1</v>
      </c>
      <c r="E407" s="65" t="s">
        <v>572</v>
      </c>
      <c r="F407" s="30">
        <v>500</v>
      </c>
      <c r="G407" s="56">
        <f t="shared" si="53"/>
        <v>500</v>
      </c>
      <c r="I407" s="56"/>
    </row>
    <row r="408" spans="1:11" s="36" customFormat="1" x14ac:dyDescent="0.25">
      <c r="A408" s="34"/>
      <c r="B408" s="34"/>
      <c r="C408" s="34" t="s">
        <v>519</v>
      </c>
      <c r="D408" s="80"/>
      <c r="E408" s="67"/>
      <c r="F408" s="35"/>
      <c r="G408" s="59"/>
      <c r="H408" s="55"/>
      <c r="I408" s="59"/>
      <c r="K408" s="107"/>
    </row>
    <row r="409" spans="1:11" x14ac:dyDescent="0.25">
      <c r="A409" s="31" t="s">
        <v>349</v>
      </c>
      <c r="B409" s="31"/>
      <c r="C409" s="31" t="s">
        <v>446</v>
      </c>
      <c r="D409" s="78">
        <v>34</v>
      </c>
      <c r="E409" s="65" t="s">
        <v>554</v>
      </c>
      <c r="F409" s="30">
        <v>2.2000000000000002</v>
      </c>
      <c r="G409" s="56">
        <f t="shared" si="53"/>
        <v>74.800000000000011</v>
      </c>
      <c r="H409" s="55">
        <v>0.98</v>
      </c>
      <c r="I409" s="56">
        <f t="shared" ref="I409:I477" si="62">$D409*H409</f>
        <v>33.32</v>
      </c>
    </row>
    <row r="410" spans="1:11" x14ac:dyDescent="0.25">
      <c r="A410" s="31" t="s">
        <v>350</v>
      </c>
      <c r="B410" s="31"/>
      <c r="C410" s="31" t="s">
        <v>447</v>
      </c>
      <c r="D410" s="78">
        <v>34</v>
      </c>
      <c r="E410" s="65" t="s">
        <v>554</v>
      </c>
      <c r="F410" s="30">
        <v>4.4000000000000004</v>
      </c>
      <c r="G410" s="56">
        <f t="shared" si="53"/>
        <v>149.60000000000002</v>
      </c>
      <c r="H410" s="55">
        <v>3.15</v>
      </c>
      <c r="I410" s="56">
        <f t="shared" si="62"/>
        <v>107.1</v>
      </c>
    </row>
    <row r="411" spans="1:11" x14ac:dyDescent="0.25">
      <c r="A411" s="31" t="s">
        <v>351</v>
      </c>
      <c r="B411" s="31"/>
      <c r="C411" s="31" t="s">
        <v>482</v>
      </c>
      <c r="D411" s="78">
        <v>39</v>
      </c>
      <c r="E411" s="65" t="s">
        <v>556</v>
      </c>
      <c r="F411" s="30">
        <v>3.8</v>
      </c>
      <c r="G411" s="56">
        <f t="shared" si="53"/>
        <v>148.19999999999999</v>
      </c>
      <c r="H411" s="55">
        <v>2.36</v>
      </c>
      <c r="I411" s="56">
        <f t="shared" si="62"/>
        <v>92.039999999999992</v>
      </c>
    </row>
    <row r="412" spans="1:11" x14ac:dyDescent="0.25">
      <c r="A412" s="31" t="s">
        <v>352</v>
      </c>
      <c r="B412" s="31"/>
      <c r="C412" s="31" t="s">
        <v>483</v>
      </c>
      <c r="D412" s="78">
        <v>34</v>
      </c>
      <c r="E412" s="65" t="s">
        <v>554</v>
      </c>
      <c r="F412" s="30">
        <v>16.899999999999999</v>
      </c>
      <c r="G412" s="56">
        <f t="shared" si="53"/>
        <v>574.59999999999991</v>
      </c>
      <c r="H412" s="55">
        <v>10.220000000000001</v>
      </c>
      <c r="I412" s="56">
        <f t="shared" si="62"/>
        <v>347.48</v>
      </c>
    </row>
    <row r="413" spans="1:11" x14ac:dyDescent="0.25">
      <c r="A413" s="31" t="s">
        <v>353</v>
      </c>
      <c r="B413" s="31"/>
      <c r="C413" s="31" t="s">
        <v>484</v>
      </c>
      <c r="D413" s="78">
        <v>39</v>
      </c>
      <c r="E413" s="65" t="s">
        <v>556</v>
      </c>
      <c r="F413" s="30">
        <v>15.1</v>
      </c>
      <c r="G413" s="56">
        <f t="shared" si="53"/>
        <v>588.9</v>
      </c>
      <c r="H413" s="55">
        <v>5.37</v>
      </c>
      <c r="I413" s="56">
        <f t="shared" si="62"/>
        <v>209.43</v>
      </c>
    </row>
    <row r="414" spans="1:11" x14ac:dyDescent="0.25">
      <c r="A414" s="31" t="s">
        <v>354</v>
      </c>
      <c r="B414" s="31"/>
      <c r="C414" s="31" t="s">
        <v>452</v>
      </c>
      <c r="D414" s="78">
        <v>39</v>
      </c>
      <c r="E414" s="65" t="s">
        <v>556</v>
      </c>
      <c r="F414" s="30">
        <v>3.2</v>
      </c>
      <c r="G414" s="56">
        <f t="shared" si="53"/>
        <v>124.80000000000001</v>
      </c>
      <c r="H414" s="55">
        <v>3.78</v>
      </c>
      <c r="I414" s="56">
        <f t="shared" si="62"/>
        <v>147.41999999999999</v>
      </c>
    </row>
    <row r="415" spans="1:11" x14ac:dyDescent="0.25">
      <c r="A415" s="31" t="s">
        <v>355</v>
      </c>
      <c r="B415" s="31"/>
      <c r="C415" s="31" t="s">
        <v>520</v>
      </c>
      <c r="D415" s="78">
        <v>34</v>
      </c>
      <c r="E415" s="65" t="s">
        <v>554</v>
      </c>
      <c r="F415" s="30">
        <v>52.8</v>
      </c>
      <c r="G415" s="56">
        <f t="shared" si="53"/>
        <v>1795.1999999999998</v>
      </c>
      <c r="H415" s="55">
        <v>34.479999999999997</v>
      </c>
      <c r="I415" s="56">
        <f t="shared" si="62"/>
        <v>1172.32</v>
      </c>
    </row>
    <row r="416" spans="1:11" x14ac:dyDescent="0.25">
      <c r="A416" s="31" t="s">
        <v>356</v>
      </c>
      <c r="B416" s="31"/>
      <c r="C416" s="31" t="s">
        <v>486</v>
      </c>
      <c r="D416" s="78">
        <v>34</v>
      </c>
      <c r="E416" s="65" t="s">
        <v>554</v>
      </c>
      <c r="F416" s="30">
        <v>18.8</v>
      </c>
      <c r="G416" s="56">
        <f t="shared" si="53"/>
        <v>639.20000000000005</v>
      </c>
      <c r="H416" s="55">
        <v>12.58</v>
      </c>
      <c r="I416" s="56">
        <f t="shared" si="62"/>
        <v>427.72</v>
      </c>
    </row>
    <row r="417" spans="1:9" x14ac:dyDescent="0.25">
      <c r="A417" s="31" t="s">
        <v>357</v>
      </c>
      <c r="B417" s="31"/>
      <c r="C417" s="31" t="s">
        <v>450</v>
      </c>
      <c r="D417" s="78">
        <v>34</v>
      </c>
      <c r="E417" s="65" t="s">
        <v>554</v>
      </c>
      <c r="F417" s="30">
        <v>22.8</v>
      </c>
      <c r="G417" s="56">
        <f t="shared" si="53"/>
        <v>775.2</v>
      </c>
      <c r="H417" s="55">
        <v>17.2</v>
      </c>
      <c r="I417" s="56">
        <f t="shared" si="62"/>
        <v>584.79999999999995</v>
      </c>
    </row>
    <row r="418" spans="1:9" x14ac:dyDescent="0.25">
      <c r="A418" s="31" t="s">
        <v>358</v>
      </c>
      <c r="B418" s="31"/>
      <c r="C418" s="31" t="s">
        <v>487</v>
      </c>
      <c r="D418" s="78">
        <v>39</v>
      </c>
      <c r="E418" s="65" t="s">
        <v>556</v>
      </c>
      <c r="F418" s="30">
        <v>75</v>
      </c>
      <c r="G418" s="56">
        <f t="shared" si="53"/>
        <v>2925</v>
      </c>
      <c r="H418" s="55">
        <v>13.4</v>
      </c>
      <c r="I418" s="56">
        <f t="shared" si="62"/>
        <v>522.6</v>
      </c>
    </row>
    <row r="419" spans="1:9" x14ac:dyDescent="0.25">
      <c r="A419" s="31" t="s">
        <v>359</v>
      </c>
      <c r="B419" s="31"/>
      <c r="C419" s="31" t="s">
        <v>498</v>
      </c>
      <c r="D419" s="78">
        <v>34</v>
      </c>
      <c r="E419" s="65" t="s">
        <v>554</v>
      </c>
      <c r="F419" s="30">
        <v>26.8</v>
      </c>
      <c r="G419" s="56">
        <f t="shared" si="53"/>
        <v>911.2</v>
      </c>
      <c r="H419" s="55">
        <v>17.2</v>
      </c>
      <c r="I419" s="56">
        <f t="shared" si="62"/>
        <v>584.79999999999995</v>
      </c>
    </row>
    <row r="420" spans="1:9" x14ac:dyDescent="0.25">
      <c r="A420" s="31" t="s">
        <v>360</v>
      </c>
      <c r="B420" s="31"/>
      <c r="C420" s="31" t="s">
        <v>521</v>
      </c>
      <c r="D420" s="78">
        <v>34</v>
      </c>
      <c r="E420" s="65" t="s">
        <v>554</v>
      </c>
      <c r="F420" s="30">
        <v>16.8</v>
      </c>
      <c r="G420" s="56">
        <f t="shared" si="53"/>
        <v>571.20000000000005</v>
      </c>
      <c r="H420" s="55">
        <v>4.72</v>
      </c>
      <c r="I420" s="56">
        <f t="shared" si="62"/>
        <v>160.47999999999999</v>
      </c>
    </row>
    <row r="421" spans="1:9" x14ac:dyDescent="0.25">
      <c r="A421" s="31" t="s">
        <v>361</v>
      </c>
      <c r="B421" s="31"/>
      <c r="C421" s="31" t="s">
        <v>511</v>
      </c>
      <c r="D421" s="78">
        <v>34</v>
      </c>
      <c r="E421" s="65" t="s">
        <v>554</v>
      </c>
      <c r="F421" s="30">
        <v>128.80000000000001</v>
      </c>
      <c r="G421" s="56">
        <f t="shared" si="53"/>
        <v>4379.2000000000007</v>
      </c>
      <c r="H421" s="55">
        <v>88.47</v>
      </c>
      <c r="I421" s="56">
        <f t="shared" si="62"/>
        <v>3007.98</v>
      </c>
    </row>
    <row r="422" spans="1:9" x14ac:dyDescent="0.25">
      <c r="A422" s="31" t="s">
        <v>362</v>
      </c>
      <c r="B422" s="31"/>
      <c r="C422" s="31" t="s">
        <v>477</v>
      </c>
      <c r="D422" s="78">
        <v>20</v>
      </c>
      <c r="E422" s="65" t="s">
        <v>556</v>
      </c>
      <c r="F422" s="30">
        <v>6.8</v>
      </c>
      <c r="G422" s="56">
        <f t="shared" ref="G422:G484" si="63">$D422*F422</f>
        <v>136</v>
      </c>
      <c r="H422" s="55">
        <v>21.77</v>
      </c>
      <c r="I422" s="56">
        <f t="shared" si="62"/>
        <v>435.4</v>
      </c>
    </row>
    <row r="423" spans="1:9" x14ac:dyDescent="0.25">
      <c r="A423" s="31" t="s">
        <v>363</v>
      </c>
      <c r="B423" s="31"/>
      <c r="C423" s="31" t="s">
        <v>478</v>
      </c>
      <c r="D423" s="78">
        <v>12</v>
      </c>
      <c r="E423" s="65" t="s">
        <v>556</v>
      </c>
      <c r="F423" s="30">
        <v>85</v>
      </c>
      <c r="G423" s="56">
        <f t="shared" si="63"/>
        <v>1020</v>
      </c>
      <c r="H423" s="55">
        <v>59.47</v>
      </c>
      <c r="I423" s="56">
        <f t="shared" si="62"/>
        <v>713.64</v>
      </c>
    </row>
    <row r="424" spans="1:9" x14ac:dyDescent="0.25">
      <c r="A424" s="31" t="s">
        <v>364</v>
      </c>
      <c r="B424" s="31"/>
      <c r="C424" s="31" t="s">
        <v>479</v>
      </c>
      <c r="D424" s="78">
        <v>12</v>
      </c>
      <c r="E424" s="65" t="s">
        <v>556</v>
      </c>
      <c r="F424" s="30">
        <v>129</v>
      </c>
      <c r="G424" s="56">
        <f t="shared" si="63"/>
        <v>1548</v>
      </c>
      <c r="H424" s="55">
        <v>132.71</v>
      </c>
      <c r="I424" s="56">
        <f t="shared" si="62"/>
        <v>1592.52</v>
      </c>
    </row>
    <row r="425" spans="1:9" x14ac:dyDescent="0.25">
      <c r="A425" s="31" t="s">
        <v>365</v>
      </c>
      <c r="B425" s="31"/>
      <c r="C425" s="31" t="s">
        <v>454</v>
      </c>
      <c r="D425" s="78">
        <v>2</v>
      </c>
      <c r="E425" s="65" t="s">
        <v>553</v>
      </c>
      <c r="F425" s="30">
        <v>580</v>
      </c>
      <c r="G425" s="56">
        <f t="shared" si="63"/>
        <v>1160</v>
      </c>
      <c r="H425" s="55">
        <v>491.5</v>
      </c>
      <c r="I425" s="56">
        <f t="shared" si="62"/>
        <v>983</v>
      </c>
    </row>
    <row r="426" spans="1:9" x14ac:dyDescent="0.25">
      <c r="A426" s="31" t="s">
        <v>366</v>
      </c>
      <c r="B426" s="31"/>
      <c r="C426" s="31" t="s">
        <v>455</v>
      </c>
      <c r="D426" s="78">
        <v>2</v>
      </c>
      <c r="E426" s="65" t="s">
        <v>553</v>
      </c>
      <c r="F426" s="30">
        <v>580</v>
      </c>
      <c r="G426" s="56">
        <f t="shared" si="63"/>
        <v>1160</v>
      </c>
      <c r="H426" s="55">
        <v>442.35</v>
      </c>
      <c r="I426" s="56">
        <f t="shared" si="62"/>
        <v>884.7</v>
      </c>
    </row>
    <row r="427" spans="1:9" x14ac:dyDescent="0.25">
      <c r="A427" s="31" t="s">
        <v>367</v>
      </c>
      <c r="B427" s="31" t="s">
        <v>432</v>
      </c>
      <c r="C427" s="31" t="s">
        <v>456</v>
      </c>
      <c r="D427" s="78">
        <v>1</v>
      </c>
      <c r="E427" s="65" t="s">
        <v>553</v>
      </c>
      <c r="F427" s="30">
        <v>320</v>
      </c>
      <c r="G427" s="58" t="s">
        <v>561</v>
      </c>
      <c r="H427" s="55">
        <v>98.3</v>
      </c>
      <c r="I427" s="58" t="s">
        <v>561</v>
      </c>
    </row>
    <row r="428" spans="1:9" x14ac:dyDescent="0.25">
      <c r="A428" s="31" t="s">
        <v>368</v>
      </c>
      <c r="B428" s="31" t="s">
        <v>432</v>
      </c>
      <c r="C428" s="31" t="s">
        <v>457</v>
      </c>
      <c r="D428" s="78">
        <v>1</v>
      </c>
      <c r="E428" s="65" t="s">
        <v>553</v>
      </c>
      <c r="F428" s="30">
        <v>280</v>
      </c>
      <c r="G428" s="58" t="s">
        <v>561</v>
      </c>
      <c r="H428" s="55">
        <v>73.73</v>
      </c>
      <c r="I428" s="58" t="s">
        <v>561</v>
      </c>
    </row>
    <row r="429" spans="1:9" x14ac:dyDescent="0.25">
      <c r="A429" s="31" t="s">
        <v>369</v>
      </c>
      <c r="B429" s="31" t="s">
        <v>432</v>
      </c>
      <c r="C429" s="31" t="s">
        <v>458</v>
      </c>
      <c r="D429" s="78">
        <v>1</v>
      </c>
      <c r="E429" s="65" t="s">
        <v>556</v>
      </c>
      <c r="F429" s="30">
        <v>380</v>
      </c>
      <c r="G429" s="58" t="s">
        <v>561</v>
      </c>
      <c r="H429" s="55">
        <v>78.64</v>
      </c>
      <c r="I429" s="58" t="s">
        <v>561</v>
      </c>
    </row>
    <row r="430" spans="1:9" x14ac:dyDescent="0.25">
      <c r="A430" s="31" t="s">
        <v>370</v>
      </c>
      <c r="B430" s="31"/>
      <c r="C430" s="31" t="s">
        <v>459</v>
      </c>
      <c r="D430" s="78">
        <v>34</v>
      </c>
      <c r="E430" s="65" t="s">
        <v>554</v>
      </c>
      <c r="F430" s="30"/>
      <c r="G430" s="56"/>
      <c r="H430" s="55">
        <v>2.95</v>
      </c>
      <c r="I430" s="56">
        <f t="shared" ref="I430:I493" si="64">$D430*H430</f>
        <v>100.30000000000001</v>
      </c>
    </row>
    <row r="431" spans="1:9" x14ac:dyDescent="0.25">
      <c r="A431" s="37" t="s">
        <v>610</v>
      </c>
      <c r="B431" s="31"/>
      <c r="C431" s="31" t="s">
        <v>580</v>
      </c>
      <c r="D431" s="78">
        <v>1</v>
      </c>
      <c r="E431" s="65" t="s">
        <v>572</v>
      </c>
      <c r="F431" s="30">
        <v>150</v>
      </c>
      <c r="G431" s="56">
        <f t="shared" si="63"/>
        <v>150</v>
      </c>
      <c r="H431" s="30"/>
      <c r="I431" s="56"/>
    </row>
    <row r="432" spans="1:9" x14ac:dyDescent="0.25">
      <c r="A432" s="32" t="s">
        <v>329</v>
      </c>
      <c r="B432" s="32"/>
      <c r="C432" s="32" t="s">
        <v>514</v>
      </c>
      <c r="D432" s="79"/>
      <c r="E432" s="66"/>
      <c r="F432" s="33"/>
      <c r="G432" s="57">
        <f>SUM(G385:G431)</f>
        <v>89135.5</v>
      </c>
      <c r="H432" s="33"/>
      <c r="I432" s="57">
        <f>SUM(I385:I431)</f>
        <v>64126.410000000011</v>
      </c>
    </row>
    <row r="433" spans="1:9" x14ac:dyDescent="0.25">
      <c r="A433" s="31"/>
      <c r="B433" s="31"/>
      <c r="C433" s="31"/>
      <c r="D433" s="78"/>
      <c r="E433" s="65"/>
      <c r="F433" s="30"/>
      <c r="G433" s="56"/>
      <c r="H433" s="30"/>
      <c r="I433" s="56"/>
    </row>
    <row r="434" spans="1:9" x14ac:dyDescent="0.25">
      <c r="A434" s="31" t="s">
        <v>372</v>
      </c>
      <c r="B434" s="31"/>
      <c r="C434" s="31" t="s">
        <v>446</v>
      </c>
      <c r="D434" s="78">
        <v>27</v>
      </c>
      <c r="E434" s="65" t="s">
        <v>554</v>
      </c>
      <c r="F434" s="30">
        <v>2.2000000000000002</v>
      </c>
      <c r="G434" s="56">
        <f t="shared" si="63"/>
        <v>59.400000000000006</v>
      </c>
      <c r="H434" s="55">
        <v>0.98</v>
      </c>
      <c r="I434" s="56">
        <f t="shared" ref="I434:I496" si="65">$D434*H434</f>
        <v>26.46</v>
      </c>
    </row>
    <row r="435" spans="1:9" x14ac:dyDescent="0.25">
      <c r="A435" s="31" t="s">
        <v>373</v>
      </c>
      <c r="B435" s="31"/>
      <c r="C435" s="31" t="s">
        <v>447</v>
      </c>
      <c r="D435" s="78">
        <v>27</v>
      </c>
      <c r="E435" s="65" t="s">
        <v>554</v>
      </c>
      <c r="F435" s="30">
        <v>4.4000000000000004</v>
      </c>
      <c r="G435" s="56">
        <f t="shared" si="63"/>
        <v>118.80000000000001</v>
      </c>
      <c r="H435" s="55">
        <v>3.15</v>
      </c>
      <c r="I435" s="56">
        <f t="shared" si="65"/>
        <v>85.05</v>
      </c>
    </row>
    <row r="436" spans="1:9" x14ac:dyDescent="0.25">
      <c r="A436" s="31" t="s">
        <v>374</v>
      </c>
      <c r="B436" s="31"/>
      <c r="C436" s="31" t="s">
        <v>449</v>
      </c>
      <c r="D436" s="78">
        <v>27</v>
      </c>
      <c r="E436" s="65" t="s">
        <v>554</v>
      </c>
      <c r="F436" s="30">
        <v>22.5</v>
      </c>
      <c r="G436" s="56">
        <f t="shared" si="63"/>
        <v>607.5</v>
      </c>
      <c r="H436" s="55">
        <v>16.22</v>
      </c>
      <c r="I436" s="56">
        <f t="shared" si="65"/>
        <v>437.93999999999994</v>
      </c>
    </row>
    <row r="437" spans="1:9" x14ac:dyDescent="0.25">
      <c r="A437" s="31" t="s">
        <v>375</v>
      </c>
      <c r="B437" s="31"/>
      <c r="C437" s="31" t="s">
        <v>450</v>
      </c>
      <c r="D437" s="78">
        <v>27</v>
      </c>
      <c r="E437" s="65" t="s">
        <v>554</v>
      </c>
      <c r="F437" s="30">
        <v>24.5</v>
      </c>
      <c r="G437" s="56">
        <f t="shared" si="63"/>
        <v>661.5</v>
      </c>
      <c r="H437" s="55">
        <v>17.2</v>
      </c>
      <c r="I437" s="56">
        <f t="shared" si="65"/>
        <v>464.4</v>
      </c>
    </row>
    <row r="438" spans="1:9" x14ac:dyDescent="0.25">
      <c r="A438" s="31" t="s">
        <v>376</v>
      </c>
      <c r="B438" s="31"/>
      <c r="C438" s="31" t="s">
        <v>521</v>
      </c>
      <c r="D438" s="78">
        <v>27</v>
      </c>
      <c r="E438" s="65" t="s">
        <v>554</v>
      </c>
      <c r="F438" s="30">
        <v>16.8</v>
      </c>
      <c r="G438" s="56">
        <f t="shared" si="63"/>
        <v>453.6</v>
      </c>
      <c r="H438" s="55">
        <v>4.72</v>
      </c>
      <c r="I438" s="56">
        <f t="shared" si="65"/>
        <v>127.44</v>
      </c>
    </row>
    <row r="439" spans="1:9" x14ac:dyDescent="0.25">
      <c r="A439" s="31" t="s">
        <v>377</v>
      </c>
      <c r="B439" s="31"/>
      <c r="C439" s="31" t="s">
        <v>503</v>
      </c>
      <c r="D439" s="78">
        <v>27</v>
      </c>
      <c r="E439" s="65" t="s">
        <v>554</v>
      </c>
      <c r="F439" s="30">
        <v>128.9</v>
      </c>
      <c r="G439" s="56">
        <f t="shared" si="63"/>
        <v>3480.3</v>
      </c>
      <c r="H439" s="55">
        <v>88.47</v>
      </c>
      <c r="I439" s="56">
        <f t="shared" si="65"/>
        <v>2388.69</v>
      </c>
    </row>
    <row r="440" spans="1:9" x14ac:dyDescent="0.25">
      <c r="A440" s="31" t="s">
        <v>378</v>
      </c>
      <c r="B440" s="31"/>
      <c r="C440" s="31" t="s">
        <v>477</v>
      </c>
      <c r="D440" s="78">
        <v>16</v>
      </c>
      <c r="E440" s="65" t="s">
        <v>556</v>
      </c>
      <c r="F440" s="30">
        <v>6.8</v>
      </c>
      <c r="G440" s="56">
        <f t="shared" si="63"/>
        <v>108.8</v>
      </c>
      <c r="H440" s="55">
        <v>21.77</v>
      </c>
      <c r="I440" s="56">
        <f t="shared" si="65"/>
        <v>348.32</v>
      </c>
    </row>
    <row r="441" spans="1:9" x14ac:dyDescent="0.25">
      <c r="A441" s="31" t="s">
        <v>379</v>
      </c>
      <c r="B441" s="31"/>
      <c r="C441" s="31" t="s">
        <v>523</v>
      </c>
      <c r="D441" s="78">
        <v>31</v>
      </c>
      <c r="E441" s="65" t="s">
        <v>556</v>
      </c>
      <c r="F441" s="30">
        <v>85</v>
      </c>
      <c r="G441" s="56">
        <f t="shared" si="63"/>
        <v>2635</v>
      </c>
      <c r="H441" s="55">
        <v>59.47</v>
      </c>
      <c r="I441" s="56">
        <f t="shared" si="65"/>
        <v>1843.57</v>
      </c>
    </row>
    <row r="442" spans="1:9" x14ac:dyDescent="0.25">
      <c r="A442" s="32" t="s">
        <v>371</v>
      </c>
      <c r="B442" s="32"/>
      <c r="C442" s="32" t="s">
        <v>522</v>
      </c>
      <c r="D442" s="79"/>
      <c r="E442" s="66"/>
      <c r="F442" s="33"/>
      <c r="G442" s="57">
        <f>SUM(G434:G441)</f>
        <v>8124.9000000000005</v>
      </c>
      <c r="H442" s="33"/>
      <c r="I442" s="57">
        <f>SUM(I434:I441)</f>
        <v>5721.87</v>
      </c>
    </row>
    <row r="443" spans="1:9" x14ac:dyDescent="0.25">
      <c r="A443" s="31"/>
      <c r="B443" s="31"/>
      <c r="C443" s="31"/>
      <c r="D443" s="78"/>
      <c r="E443" s="65"/>
      <c r="F443" s="30"/>
      <c r="G443" s="56"/>
      <c r="H443" s="30"/>
      <c r="I443" s="56"/>
    </row>
    <row r="444" spans="1:9" x14ac:dyDescent="0.25">
      <c r="A444" s="31" t="s">
        <v>381</v>
      </c>
      <c r="B444" s="31"/>
      <c r="C444" s="31" t="s">
        <v>525</v>
      </c>
      <c r="D444" s="78">
        <v>639</v>
      </c>
      <c r="E444" s="65" t="s">
        <v>556</v>
      </c>
      <c r="F444" s="30">
        <v>75.8</v>
      </c>
      <c r="G444" s="56">
        <f t="shared" si="63"/>
        <v>48436.2</v>
      </c>
      <c r="H444" s="55">
        <v>78.05</v>
      </c>
      <c r="I444" s="56">
        <f t="shared" ref="I444:I506" si="66">$D444*H444</f>
        <v>49873.95</v>
      </c>
    </row>
    <row r="445" spans="1:9" x14ac:dyDescent="0.25">
      <c r="A445" s="31" t="s">
        <v>382</v>
      </c>
      <c r="B445" s="31"/>
      <c r="C445" s="31" t="s">
        <v>526</v>
      </c>
      <c r="D445" s="78">
        <v>70</v>
      </c>
      <c r="E445" s="65" t="s">
        <v>553</v>
      </c>
      <c r="F445" s="30">
        <v>65</v>
      </c>
      <c r="G445" s="56">
        <f t="shared" si="63"/>
        <v>4550</v>
      </c>
      <c r="H445" s="55">
        <v>39.119999999999997</v>
      </c>
      <c r="I445" s="56">
        <f t="shared" si="66"/>
        <v>2738.3999999999996</v>
      </c>
    </row>
    <row r="446" spans="1:9" x14ac:dyDescent="0.25">
      <c r="A446" s="31" t="s">
        <v>383</v>
      </c>
      <c r="B446" s="31"/>
      <c r="C446" s="31" t="s">
        <v>527</v>
      </c>
      <c r="D446" s="78">
        <v>12</v>
      </c>
      <c r="E446" s="65" t="s">
        <v>553</v>
      </c>
      <c r="F446" s="30">
        <v>85.2</v>
      </c>
      <c r="G446" s="56">
        <f t="shared" si="63"/>
        <v>1022.4000000000001</v>
      </c>
      <c r="H446" s="55">
        <v>73.819999999999993</v>
      </c>
      <c r="I446" s="56">
        <f t="shared" si="66"/>
        <v>885.83999999999992</v>
      </c>
    </row>
    <row r="447" spans="1:9" x14ac:dyDescent="0.25">
      <c r="A447" s="31" t="s">
        <v>384</v>
      </c>
      <c r="B447" s="31"/>
      <c r="C447" s="31" t="s">
        <v>528</v>
      </c>
      <c r="D447" s="78">
        <v>12</v>
      </c>
      <c r="E447" s="65" t="s">
        <v>553</v>
      </c>
      <c r="F447" s="30"/>
      <c r="G447" s="56">
        <f t="shared" si="63"/>
        <v>0</v>
      </c>
      <c r="H447" s="55">
        <v>35.78</v>
      </c>
      <c r="I447" s="56">
        <f t="shared" si="66"/>
        <v>429.36</v>
      </c>
    </row>
    <row r="448" spans="1:9" x14ac:dyDescent="0.25">
      <c r="A448" s="31" t="s">
        <v>385</v>
      </c>
      <c r="B448" s="31"/>
      <c r="C448" s="31" t="s">
        <v>529</v>
      </c>
      <c r="D448" s="78">
        <v>25</v>
      </c>
      <c r="E448" s="65" t="s">
        <v>553</v>
      </c>
      <c r="F448" s="30">
        <v>320</v>
      </c>
      <c r="G448" s="56">
        <f t="shared" si="63"/>
        <v>8000</v>
      </c>
      <c r="H448" s="55">
        <v>324.39</v>
      </c>
      <c r="I448" s="56">
        <f t="shared" si="66"/>
        <v>8109.75</v>
      </c>
    </row>
    <row r="449" spans="1:9" x14ac:dyDescent="0.25">
      <c r="A449" s="31" t="s">
        <v>386</v>
      </c>
      <c r="B449" s="31"/>
      <c r="C449" s="31" t="s">
        <v>530</v>
      </c>
      <c r="D449" s="78">
        <v>25</v>
      </c>
      <c r="E449" s="65" t="s">
        <v>553</v>
      </c>
      <c r="F449" s="30">
        <v>99.8</v>
      </c>
      <c r="G449" s="56">
        <f t="shared" si="63"/>
        <v>2495</v>
      </c>
      <c r="H449" s="55">
        <v>73.53</v>
      </c>
      <c r="I449" s="56">
        <f t="shared" si="66"/>
        <v>1838.25</v>
      </c>
    </row>
    <row r="450" spans="1:9" x14ac:dyDescent="0.25">
      <c r="A450" s="32" t="s">
        <v>380</v>
      </c>
      <c r="B450" s="32"/>
      <c r="C450" s="32" t="s">
        <v>524</v>
      </c>
      <c r="D450" s="79"/>
      <c r="E450" s="66"/>
      <c r="F450" s="33"/>
      <c r="G450" s="57">
        <f>SUM(G444:G449)</f>
        <v>64503.6</v>
      </c>
      <c r="H450" s="33"/>
      <c r="I450" s="57">
        <f>SUM(I444:I449)</f>
        <v>63875.549999999996</v>
      </c>
    </row>
    <row r="451" spans="1:9" x14ac:dyDescent="0.25">
      <c r="A451" s="31"/>
      <c r="B451" s="31"/>
      <c r="C451" s="31"/>
      <c r="D451" s="78"/>
      <c r="E451" s="65"/>
      <c r="F451" s="30"/>
      <c r="G451" s="56"/>
      <c r="H451" s="30"/>
      <c r="I451" s="56"/>
    </row>
    <row r="452" spans="1:9" x14ac:dyDescent="0.25">
      <c r="A452" s="31" t="s">
        <v>388</v>
      </c>
      <c r="B452" s="31" t="s">
        <v>432</v>
      </c>
      <c r="C452" s="31" t="s">
        <v>534</v>
      </c>
      <c r="D452" s="78">
        <v>348</v>
      </c>
      <c r="E452" s="65" t="s">
        <v>556</v>
      </c>
      <c r="F452" s="30">
        <v>19.899999999999999</v>
      </c>
      <c r="G452" s="58" t="s">
        <v>561</v>
      </c>
      <c r="H452" s="55">
        <v>20.64</v>
      </c>
      <c r="I452" s="58" t="s">
        <v>561</v>
      </c>
    </row>
    <row r="453" spans="1:9" x14ac:dyDescent="0.25">
      <c r="A453" s="31" t="s">
        <v>389</v>
      </c>
      <c r="B453" s="31" t="s">
        <v>432</v>
      </c>
      <c r="C453" s="31" t="s">
        <v>535</v>
      </c>
      <c r="D453" s="78">
        <v>348</v>
      </c>
      <c r="E453" s="65" t="s">
        <v>556</v>
      </c>
      <c r="F453" s="30">
        <v>29.9</v>
      </c>
      <c r="G453" s="58" t="s">
        <v>561</v>
      </c>
      <c r="H453" s="55">
        <v>14.75</v>
      </c>
      <c r="I453" s="58" t="s">
        <v>561</v>
      </c>
    </row>
    <row r="454" spans="1:9" x14ac:dyDescent="0.25">
      <c r="A454" s="31" t="s">
        <v>390</v>
      </c>
      <c r="B454" s="31" t="s">
        <v>432</v>
      </c>
      <c r="C454" s="31" t="s">
        <v>536</v>
      </c>
      <c r="D454" s="78">
        <v>348</v>
      </c>
      <c r="E454" s="65" t="s">
        <v>556</v>
      </c>
      <c r="F454" s="30">
        <v>142.80000000000001</v>
      </c>
      <c r="G454" s="58" t="s">
        <v>561</v>
      </c>
      <c r="H454" s="55">
        <v>108.13</v>
      </c>
      <c r="I454" s="58" t="s">
        <v>561</v>
      </c>
    </row>
    <row r="455" spans="1:9" x14ac:dyDescent="0.25">
      <c r="A455" s="31" t="s">
        <v>391</v>
      </c>
      <c r="B455" s="31" t="s">
        <v>432</v>
      </c>
      <c r="C455" s="31" t="s">
        <v>537</v>
      </c>
      <c r="D455" s="78">
        <v>20</v>
      </c>
      <c r="E455" s="65" t="s">
        <v>553</v>
      </c>
      <c r="F455" s="30">
        <v>99.8</v>
      </c>
      <c r="G455" s="58" t="s">
        <v>561</v>
      </c>
      <c r="H455" s="55">
        <v>88.47</v>
      </c>
      <c r="I455" s="58" t="s">
        <v>561</v>
      </c>
    </row>
    <row r="456" spans="1:9" x14ac:dyDescent="0.25">
      <c r="A456" s="32" t="s">
        <v>387</v>
      </c>
      <c r="B456" s="32"/>
      <c r="C456" s="32" t="s">
        <v>533</v>
      </c>
      <c r="D456" s="79"/>
      <c r="E456" s="66"/>
      <c r="F456" s="33"/>
      <c r="G456" s="57">
        <f>SUM(G452:G455)</f>
        <v>0</v>
      </c>
      <c r="H456" s="33"/>
      <c r="I456" s="57">
        <f>SUM(I452:I455)</f>
        <v>0</v>
      </c>
    </row>
    <row r="457" spans="1:9" x14ac:dyDescent="0.25">
      <c r="A457" s="31"/>
      <c r="B457" s="31"/>
      <c r="C457" s="31"/>
      <c r="D457" s="78"/>
      <c r="E457" s="65"/>
      <c r="F457" s="30"/>
      <c r="G457" s="56"/>
      <c r="H457" s="30"/>
      <c r="I457" s="56"/>
    </row>
    <row r="458" spans="1:9" x14ac:dyDescent="0.25">
      <c r="A458" s="31" t="s">
        <v>393</v>
      </c>
      <c r="B458" s="31"/>
      <c r="C458" s="31" t="s">
        <v>539</v>
      </c>
      <c r="D458" s="78">
        <v>3</v>
      </c>
      <c r="E458" s="65" t="s">
        <v>553</v>
      </c>
      <c r="F458" s="30">
        <v>3995</v>
      </c>
      <c r="G458" s="56">
        <f t="shared" si="63"/>
        <v>11985</v>
      </c>
      <c r="H458" s="55">
        <v>2604.9499999999998</v>
      </c>
      <c r="I458" s="56">
        <f t="shared" ref="I458:I520" si="67">$D458*H458</f>
        <v>7814.8499999999995</v>
      </c>
    </row>
    <row r="459" spans="1:9" x14ac:dyDescent="0.25">
      <c r="A459" s="32" t="s">
        <v>392</v>
      </c>
      <c r="B459" s="32"/>
      <c r="C459" s="32" t="s">
        <v>538</v>
      </c>
      <c r="D459" s="79"/>
      <c r="E459" s="66"/>
      <c r="F459" s="33"/>
      <c r="G459" s="57">
        <f>SUM(G458)</f>
        <v>11985</v>
      </c>
      <c r="H459" s="33"/>
      <c r="I459" s="57">
        <f>SUM(I458)</f>
        <v>7814.8499999999995</v>
      </c>
    </row>
    <row r="460" spans="1:9" x14ac:dyDescent="0.25">
      <c r="A460" s="31"/>
      <c r="B460" s="31"/>
      <c r="C460" s="31"/>
      <c r="D460" s="78"/>
      <c r="E460" s="65"/>
      <c r="F460" s="30"/>
      <c r="G460" s="56"/>
      <c r="H460" s="30"/>
      <c r="I460" s="56"/>
    </row>
    <row r="461" spans="1:9" x14ac:dyDescent="0.25">
      <c r="A461" s="29" t="s">
        <v>394</v>
      </c>
      <c r="B461" s="29"/>
      <c r="C461" s="29" t="s">
        <v>550</v>
      </c>
      <c r="D461" s="78"/>
      <c r="E461" s="65"/>
      <c r="F461" s="30"/>
      <c r="G461" s="56"/>
      <c r="H461" s="30"/>
      <c r="I461" s="56"/>
    </row>
    <row r="462" spans="1:9" x14ac:dyDescent="0.25">
      <c r="A462" s="31" t="s">
        <v>396</v>
      </c>
      <c r="B462" s="31"/>
      <c r="C462" s="31" t="s">
        <v>446</v>
      </c>
      <c r="D462" s="78">
        <v>171</v>
      </c>
      <c r="E462" s="65" t="s">
        <v>554</v>
      </c>
      <c r="F462" s="30">
        <v>2.2000000000000002</v>
      </c>
      <c r="G462" s="56">
        <f t="shared" si="63"/>
        <v>376.20000000000005</v>
      </c>
      <c r="H462" s="55">
        <v>0.98</v>
      </c>
      <c r="I462" s="56">
        <f t="shared" ref="I462:I524" si="68">$D462*H462</f>
        <v>167.57999999999998</v>
      </c>
    </row>
    <row r="463" spans="1:9" x14ac:dyDescent="0.25">
      <c r="A463" s="31" t="s">
        <v>397</v>
      </c>
      <c r="B463" s="31"/>
      <c r="C463" s="31" t="s">
        <v>447</v>
      </c>
      <c r="D463" s="78">
        <v>171</v>
      </c>
      <c r="E463" s="65" t="s">
        <v>554</v>
      </c>
      <c r="F463" s="30">
        <v>3.8</v>
      </c>
      <c r="G463" s="56">
        <f t="shared" si="63"/>
        <v>649.79999999999995</v>
      </c>
      <c r="H463" s="55">
        <v>3.15</v>
      </c>
      <c r="I463" s="56">
        <f t="shared" si="68"/>
        <v>538.65</v>
      </c>
    </row>
    <row r="464" spans="1:9" x14ac:dyDescent="0.25">
      <c r="A464" s="31" t="s">
        <v>398</v>
      </c>
      <c r="B464" s="31"/>
      <c r="C464" s="31" t="s">
        <v>482</v>
      </c>
      <c r="D464" s="78">
        <v>98</v>
      </c>
      <c r="E464" s="65" t="s">
        <v>556</v>
      </c>
      <c r="F464" s="30">
        <v>2.4</v>
      </c>
      <c r="G464" s="56">
        <f t="shared" si="63"/>
        <v>235.2</v>
      </c>
      <c r="H464" s="55">
        <v>2.36</v>
      </c>
      <c r="I464" s="56">
        <f t="shared" si="68"/>
        <v>231.28</v>
      </c>
    </row>
    <row r="465" spans="1:9" x14ac:dyDescent="0.25">
      <c r="A465" s="31" t="s">
        <v>399</v>
      </c>
      <c r="B465" s="31"/>
      <c r="C465" s="31" t="s">
        <v>449</v>
      </c>
      <c r="D465" s="78">
        <v>171</v>
      </c>
      <c r="E465" s="65" t="s">
        <v>554</v>
      </c>
      <c r="F465" s="30">
        <v>18.899999999999999</v>
      </c>
      <c r="G465" s="56">
        <f t="shared" si="63"/>
        <v>3231.8999999999996</v>
      </c>
      <c r="H465" s="55">
        <v>16.22</v>
      </c>
      <c r="I465" s="56">
        <f t="shared" si="68"/>
        <v>2773.62</v>
      </c>
    </row>
    <row r="466" spans="1:9" x14ac:dyDescent="0.25">
      <c r="A466" s="37" t="s">
        <v>611</v>
      </c>
      <c r="B466" s="31"/>
      <c r="C466" s="31" t="s">
        <v>564</v>
      </c>
      <c r="D466" s="78">
        <v>171</v>
      </c>
      <c r="E466" s="65" t="s">
        <v>554</v>
      </c>
      <c r="F466" s="30">
        <v>20.8</v>
      </c>
      <c r="G466" s="58" t="s">
        <v>561</v>
      </c>
      <c r="H466" s="30"/>
      <c r="I466" s="58"/>
    </row>
    <row r="467" spans="1:9" x14ac:dyDescent="0.25">
      <c r="A467" s="31" t="s">
        <v>400</v>
      </c>
      <c r="B467" s="31"/>
      <c r="C467" s="31" t="s">
        <v>450</v>
      </c>
      <c r="D467" s="78">
        <v>171</v>
      </c>
      <c r="E467" s="65" t="s">
        <v>554</v>
      </c>
      <c r="F467" s="30">
        <v>19.899999999999999</v>
      </c>
      <c r="G467" s="56">
        <f t="shared" si="63"/>
        <v>3402.8999999999996</v>
      </c>
      <c r="H467" s="55">
        <v>17.2</v>
      </c>
      <c r="I467" s="56">
        <f t="shared" ref="I467:I529" si="69">$D467*H467</f>
        <v>2941.2</v>
      </c>
    </row>
    <row r="468" spans="1:9" x14ac:dyDescent="0.25">
      <c r="A468" s="37" t="s">
        <v>612</v>
      </c>
      <c r="B468" s="31"/>
      <c r="C468" s="31" t="s">
        <v>564</v>
      </c>
      <c r="D468" s="78">
        <v>171</v>
      </c>
      <c r="E468" s="65" t="s">
        <v>554</v>
      </c>
      <c r="F468" s="30">
        <v>21.5</v>
      </c>
      <c r="G468" s="58" t="s">
        <v>561</v>
      </c>
      <c r="H468" s="30"/>
      <c r="I468" s="58"/>
    </row>
    <row r="469" spans="1:9" x14ac:dyDescent="0.25">
      <c r="A469" s="31" t="s">
        <v>401</v>
      </c>
      <c r="B469" s="31"/>
      <c r="C469" s="31" t="s">
        <v>552</v>
      </c>
      <c r="D469" s="78">
        <v>98</v>
      </c>
      <c r="E469" s="65" t="s">
        <v>556</v>
      </c>
      <c r="F469" s="30">
        <v>65</v>
      </c>
      <c r="G469" s="56">
        <f t="shared" si="63"/>
        <v>6370</v>
      </c>
      <c r="H469" s="55">
        <v>25.07</v>
      </c>
      <c r="I469" s="56">
        <f t="shared" ref="I469:I531" si="70">$D469*H469</f>
        <v>2456.86</v>
      </c>
    </row>
    <row r="470" spans="1:9" x14ac:dyDescent="0.25">
      <c r="A470" s="37" t="s">
        <v>613</v>
      </c>
      <c r="B470" s="31"/>
      <c r="C470" s="31" t="s">
        <v>567</v>
      </c>
      <c r="D470" s="78">
        <v>98</v>
      </c>
      <c r="E470" s="65" t="s">
        <v>556</v>
      </c>
      <c r="F470" s="30">
        <v>99</v>
      </c>
      <c r="G470" s="58" t="s">
        <v>561</v>
      </c>
      <c r="H470" s="30"/>
      <c r="I470" s="58"/>
    </row>
    <row r="471" spans="1:9" x14ac:dyDescent="0.25">
      <c r="A471" s="31" t="s">
        <v>402</v>
      </c>
      <c r="B471" s="31" t="s">
        <v>432</v>
      </c>
      <c r="C471" s="31" t="s">
        <v>452</v>
      </c>
      <c r="D471" s="78">
        <v>98</v>
      </c>
      <c r="E471" s="65" t="s">
        <v>556</v>
      </c>
      <c r="F471" s="30">
        <v>3.2</v>
      </c>
      <c r="G471" s="58" t="s">
        <v>561</v>
      </c>
      <c r="H471" s="55">
        <v>3.78</v>
      </c>
      <c r="I471" s="58" t="s">
        <v>561</v>
      </c>
    </row>
    <row r="472" spans="1:9" x14ac:dyDescent="0.25">
      <c r="A472" s="31" t="s">
        <v>403</v>
      </c>
      <c r="B472" s="31" t="s">
        <v>432</v>
      </c>
      <c r="C472" s="31" t="s">
        <v>453</v>
      </c>
      <c r="D472" s="78">
        <v>171</v>
      </c>
      <c r="E472" s="65" t="s">
        <v>554</v>
      </c>
      <c r="F472" s="30">
        <v>62.8</v>
      </c>
      <c r="G472" s="58" t="s">
        <v>561</v>
      </c>
      <c r="H472" s="55">
        <v>42.96</v>
      </c>
      <c r="I472" s="58" t="s">
        <v>561</v>
      </c>
    </row>
    <row r="473" spans="1:9" x14ac:dyDescent="0.25">
      <c r="A473" s="37" t="s">
        <v>614</v>
      </c>
      <c r="B473" s="31"/>
      <c r="C473" s="31" t="s">
        <v>570</v>
      </c>
      <c r="D473" s="78">
        <v>171</v>
      </c>
      <c r="E473" s="65" t="s">
        <v>554</v>
      </c>
      <c r="F473" s="30">
        <v>4.9000000000000004</v>
      </c>
      <c r="G473" s="58" t="s">
        <v>561</v>
      </c>
      <c r="H473" s="30"/>
      <c r="I473" s="58"/>
    </row>
    <row r="474" spans="1:9" x14ac:dyDescent="0.25">
      <c r="A474" s="31" t="s">
        <v>404</v>
      </c>
      <c r="B474" s="31"/>
      <c r="C474" s="31" t="s">
        <v>463</v>
      </c>
      <c r="D474" s="78">
        <v>171</v>
      </c>
      <c r="E474" s="65" t="s">
        <v>554</v>
      </c>
      <c r="F474" s="30">
        <v>2.7</v>
      </c>
      <c r="G474" s="56">
        <f t="shared" si="63"/>
        <v>461.70000000000005</v>
      </c>
      <c r="H474" s="55">
        <v>2.6</v>
      </c>
      <c r="I474" s="56">
        <f t="shared" ref="I474:I536" si="71">$D474*H474</f>
        <v>444.6</v>
      </c>
    </row>
    <row r="475" spans="1:9" x14ac:dyDescent="0.25">
      <c r="A475" s="31" t="s">
        <v>405</v>
      </c>
      <c r="B475" s="31"/>
      <c r="C475" s="31" t="s">
        <v>466</v>
      </c>
      <c r="D475" s="78">
        <v>96</v>
      </c>
      <c r="E475" s="65" t="s">
        <v>554</v>
      </c>
      <c r="F475" s="30">
        <v>16.8</v>
      </c>
      <c r="G475" s="56">
        <f t="shared" si="63"/>
        <v>1612.8000000000002</v>
      </c>
      <c r="H475" s="55">
        <v>8.6999999999999993</v>
      </c>
      <c r="I475" s="56">
        <f t="shared" si="71"/>
        <v>835.19999999999993</v>
      </c>
    </row>
    <row r="476" spans="1:9" x14ac:dyDescent="0.25">
      <c r="A476" s="31" t="s">
        <v>406</v>
      </c>
      <c r="B476" s="31"/>
      <c r="C476" s="31" t="s">
        <v>467</v>
      </c>
      <c r="D476" s="78">
        <v>96</v>
      </c>
      <c r="E476" s="65" t="s">
        <v>554</v>
      </c>
      <c r="F476" s="30">
        <v>18.2</v>
      </c>
      <c r="G476" s="56">
        <f t="shared" si="63"/>
        <v>1747.1999999999998</v>
      </c>
      <c r="H476" s="55">
        <v>8.9499999999999993</v>
      </c>
      <c r="I476" s="56">
        <f t="shared" si="71"/>
        <v>859.19999999999993</v>
      </c>
    </row>
    <row r="477" spans="1:9" x14ac:dyDescent="0.25">
      <c r="A477" s="31" t="s">
        <v>407</v>
      </c>
      <c r="B477" s="31"/>
      <c r="C477" s="31" t="s">
        <v>468</v>
      </c>
      <c r="D477" s="78">
        <v>96</v>
      </c>
      <c r="E477" s="65" t="s">
        <v>554</v>
      </c>
      <c r="F477" s="30">
        <v>8.9</v>
      </c>
      <c r="G477" s="56">
        <f t="shared" si="63"/>
        <v>854.40000000000009</v>
      </c>
      <c r="H477" s="55">
        <v>4.28</v>
      </c>
      <c r="I477" s="56">
        <f t="shared" si="71"/>
        <v>410.88</v>
      </c>
    </row>
    <row r="478" spans="1:9" x14ac:dyDescent="0.25">
      <c r="A478" s="31" t="s">
        <v>408</v>
      </c>
      <c r="B478" s="31"/>
      <c r="C478" s="31" t="s">
        <v>469</v>
      </c>
      <c r="D478" s="78">
        <v>96</v>
      </c>
      <c r="E478" s="65" t="s">
        <v>554</v>
      </c>
      <c r="F478" s="30">
        <v>4.8</v>
      </c>
      <c r="G478" s="56">
        <f t="shared" si="63"/>
        <v>460.79999999999995</v>
      </c>
      <c r="H478" s="55">
        <v>1.72</v>
      </c>
      <c r="I478" s="56">
        <f t="shared" si="71"/>
        <v>165.12</v>
      </c>
    </row>
    <row r="479" spans="1:9" x14ac:dyDescent="0.25">
      <c r="A479" s="31" t="s">
        <v>409</v>
      </c>
      <c r="B479" s="31"/>
      <c r="C479" s="31" t="s">
        <v>470</v>
      </c>
      <c r="D479" s="78">
        <v>96</v>
      </c>
      <c r="E479" s="65" t="s">
        <v>554</v>
      </c>
      <c r="F479" s="30">
        <v>3.4</v>
      </c>
      <c r="G479" s="56">
        <f t="shared" si="63"/>
        <v>326.39999999999998</v>
      </c>
      <c r="H479" s="55">
        <v>4.62</v>
      </c>
      <c r="I479" s="56">
        <f t="shared" si="71"/>
        <v>443.52</v>
      </c>
    </row>
    <row r="480" spans="1:9" x14ac:dyDescent="0.25">
      <c r="A480" s="31" t="s">
        <v>410</v>
      </c>
      <c r="B480" s="31"/>
      <c r="C480" s="31" t="s">
        <v>471</v>
      </c>
      <c r="D480" s="78">
        <v>25</v>
      </c>
      <c r="E480" s="65" t="s">
        <v>554</v>
      </c>
      <c r="F480" s="30">
        <v>24.8</v>
      </c>
      <c r="G480" s="56">
        <f t="shared" si="63"/>
        <v>620</v>
      </c>
      <c r="H480" s="55">
        <v>18.87</v>
      </c>
      <c r="I480" s="56">
        <f t="shared" si="71"/>
        <v>471.75</v>
      </c>
    </row>
    <row r="481" spans="1:9" x14ac:dyDescent="0.25">
      <c r="A481" s="31" t="s">
        <v>411</v>
      </c>
      <c r="B481" s="31"/>
      <c r="C481" s="31" t="s">
        <v>472</v>
      </c>
      <c r="D481" s="78">
        <v>48</v>
      </c>
      <c r="E481" s="65" t="s">
        <v>556</v>
      </c>
      <c r="F481" s="30">
        <v>14.8</v>
      </c>
      <c r="G481" s="56">
        <f t="shared" si="63"/>
        <v>710.40000000000009</v>
      </c>
      <c r="H481" s="55">
        <v>17.690000000000001</v>
      </c>
      <c r="I481" s="56">
        <f t="shared" si="71"/>
        <v>849.12000000000012</v>
      </c>
    </row>
    <row r="482" spans="1:9" x14ac:dyDescent="0.25">
      <c r="A482" s="31" t="s">
        <v>412</v>
      </c>
      <c r="B482" s="31"/>
      <c r="C482" s="31" t="s">
        <v>454</v>
      </c>
      <c r="D482" s="78">
        <v>4</v>
      </c>
      <c r="E482" s="65" t="s">
        <v>553</v>
      </c>
      <c r="F482" s="30">
        <v>580</v>
      </c>
      <c r="G482" s="56">
        <f t="shared" si="63"/>
        <v>2320</v>
      </c>
      <c r="H482" s="55">
        <v>491.5</v>
      </c>
      <c r="I482" s="56">
        <f t="shared" si="71"/>
        <v>1966</v>
      </c>
    </row>
    <row r="483" spans="1:9" x14ac:dyDescent="0.25">
      <c r="A483" s="31" t="s">
        <v>413</v>
      </c>
      <c r="B483" s="31"/>
      <c r="C483" s="31" t="s">
        <v>455</v>
      </c>
      <c r="D483" s="78">
        <v>4</v>
      </c>
      <c r="E483" s="65" t="s">
        <v>553</v>
      </c>
      <c r="F483" s="30">
        <v>580</v>
      </c>
      <c r="G483" s="56">
        <f t="shared" si="63"/>
        <v>2320</v>
      </c>
      <c r="H483" s="55">
        <v>442.35</v>
      </c>
      <c r="I483" s="56">
        <f t="shared" si="71"/>
        <v>1769.4</v>
      </c>
    </row>
    <row r="484" spans="1:9" x14ac:dyDescent="0.25">
      <c r="A484" s="31" t="s">
        <v>414</v>
      </c>
      <c r="B484" s="31"/>
      <c r="C484" s="31" t="s">
        <v>456</v>
      </c>
      <c r="D484" s="78">
        <v>8</v>
      </c>
      <c r="E484" s="65" t="s">
        <v>553</v>
      </c>
      <c r="F484" s="30">
        <v>320</v>
      </c>
      <c r="G484" s="56">
        <f t="shared" si="63"/>
        <v>2560</v>
      </c>
      <c r="H484" s="55">
        <v>98.3</v>
      </c>
      <c r="I484" s="56">
        <f t="shared" si="71"/>
        <v>786.4</v>
      </c>
    </row>
    <row r="485" spans="1:9" x14ac:dyDescent="0.25">
      <c r="A485" s="31" t="s">
        <v>415</v>
      </c>
      <c r="B485" s="31"/>
      <c r="C485" s="31" t="s">
        <v>457</v>
      </c>
      <c r="D485" s="78">
        <v>8</v>
      </c>
      <c r="E485" s="65" t="s">
        <v>553</v>
      </c>
      <c r="F485" s="30">
        <v>280</v>
      </c>
      <c r="G485" s="56">
        <f t="shared" ref="G485:G505" si="72">$D485*F485</f>
        <v>2240</v>
      </c>
      <c r="H485" s="55">
        <v>73.73</v>
      </c>
      <c r="I485" s="56">
        <f t="shared" si="71"/>
        <v>589.84</v>
      </c>
    </row>
    <row r="486" spans="1:9" x14ac:dyDescent="0.25">
      <c r="A486" s="31" t="s">
        <v>416</v>
      </c>
      <c r="B486" s="31"/>
      <c r="C486" s="31" t="s">
        <v>458</v>
      </c>
      <c r="D486" s="78">
        <v>12</v>
      </c>
      <c r="E486" s="65" t="s">
        <v>556</v>
      </c>
      <c r="F486" s="30">
        <v>75</v>
      </c>
      <c r="G486" s="56">
        <f t="shared" si="72"/>
        <v>900</v>
      </c>
      <c r="H486" s="55">
        <v>78.64</v>
      </c>
      <c r="I486" s="56">
        <f t="shared" si="71"/>
        <v>943.68000000000006</v>
      </c>
    </row>
    <row r="487" spans="1:9" x14ac:dyDescent="0.25">
      <c r="A487" s="31" t="s">
        <v>417</v>
      </c>
      <c r="B487" s="31"/>
      <c r="C487" s="31" t="s">
        <v>459</v>
      </c>
      <c r="D487" s="78">
        <v>171</v>
      </c>
      <c r="E487" s="65" t="s">
        <v>554</v>
      </c>
      <c r="F487" s="30"/>
      <c r="G487" s="56"/>
      <c r="H487" s="55">
        <v>2.95</v>
      </c>
      <c r="I487" s="56">
        <f t="shared" ref="I487:I508" si="73">$D487*H487</f>
        <v>504.45000000000005</v>
      </c>
    </row>
    <row r="488" spans="1:9" x14ac:dyDescent="0.25">
      <c r="A488" s="37" t="s">
        <v>615</v>
      </c>
      <c r="B488" s="31"/>
      <c r="C488" s="31" t="s">
        <v>580</v>
      </c>
      <c r="D488" s="78">
        <v>1</v>
      </c>
      <c r="E488" s="65" t="s">
        <v>572</v>
      </c>
      <c r="F488" s="30">
        <v>500</v>
      </c>
      <c r="G488" s="56">
        <f t="shared" si="72"/>
        <v>500</v>
      </c>
      <c r="H488" s="30"/>
      <c r="I488" s="56"/>
    </row>
    <row r="489" spans="1:9" x14ac:dyDescent="0.25">
      <c r="A489" s="32" t="s">
        <v>395</v>
      </c>
      <c r="B489" s="32"/>
      <c r="C489" s="32" t="s">
        <v>551</v>
      </c>
      <c r="D489" s="79"/>
      <c r="E489" s="66"/>
      <c r="F489" s="33"/>
      <c r="G489" s="57">
        <f>SUM(G462:G488)</f>
        <v>31899.700000000004</v>
      </c>
      <c r="H489" s="33"/>
      <c r="I489" s="57">
        <f>SUM(I462:I488)</f>
        <v>20148.350000000006</v>
      </c>
    </row>
    <row r="490" spans="1:9" x14ac:dyDescent="0.25">
      <c r="A490" s="31"/>
      <c r="B490" s="31"/>
      <c r="C490" s="31"/>
      <c r="D490" s="78"/>
      <c r="E490" s="65"/>
      <c r="F490" s="30"/>
      <c r="G490" s="56"/>
      <c r="H490" s="30"/>
      <c r="I490" s="56"/>
    </row>
    <row r="491" spans="1:9" x14ac:dyDescent="0.25">
      <c r="A491" s="31" t="s">
        <v>419</v>
      </c>
      <c r="B491" s="31"/>
      <c r="C491" s="31" t="s">
        <v>525</v>
      </c>
      <c r="D491" s="78">
        <v>82</v>
      </c>
      <c r="E491" s="65" t="s">
        <v>556</v>
      </c>
      <c r="F491" s="30">
        <v>75.8</v>
      </c>
      <c r="G491" s="56">
        <f t="shared" si="72"/>
        <v>6215.5999999999995</v>
      </c>
      <c r="H491" s="55">
        <v>78.05</v>
      </c>
      <c r="I491" s="56">
        <f t="shared" ref="I491:I511" si="74">$D491*H491</f>
        <v>6400.0999999999995</v>
      </c>
    </row>
    <row r="492" spans="1:9" x14ac:dyDescent="0.25">
      <c r="A492" s="31" t="s">
        <v>420</v>
      </c>
      <c r="B492" s="31"/>
      <c r="C492" s="31" t="s">
        <v>526</v>
      </c>
      <c r="D492" s="78">
        <v>6</v>
      </c>
      <c r="E492" s="65" t="s">
        <v>553</v>
      </c>
      <c r="F492" s="30">
        <v>65</v>
      </c>
      <c r="G492" s="56">
        <f t="shared" si="72"/>
        <v>390</v>
      </c>
      <c r="H492" s="55">
        <v>39.119999999999997</v>
      </c>
      <c r="I492" s="56">
        <f t="shared" si="74"/>
        <v>234.71999999999997</v>
      </c>
    </row>
    <row r="493" spans="1:9" x14ac:dyDescent="0.25">
      <c r="A493" s="31" t="s">
        <v>421</v>
      </c>
      <c r="B493" s="31"/>
      <c r="C493" s="31" t="s">
        <v>527</v>
      </c>
      <c r="D493" s="78">
        <v>0</v>
      </c>
      <c r="E493" s="65" t="s">
        <v>553</v>
      </c>
      <c r="F493" s="30">
        <v>85.2</v>
      </c>
      <c r="G493" s="89" t="s">
        <v>617</v>
      </c>
      <c r="H493" s="55">
        <v>73.819999999999993</v>
      </c>
      <c r="I493" s="56">
        <f t="shared" si="74"/>
        <v>0</v>
      </c>
    </row>
    <row r="494" spans="1:9" x14ac:dyDescent="0.25">
      <c r="A494" s="31" t="s">
        <v>422</v>
      </c>
      <c r="B494" s="31"/>
      <c r="C494" s="31" t="s">
        <v>528</v>
      </c>
      <c r="D494" s="78">
        <v>0</v>
      </c>
      <c r="E494" s="65" t="s">
        <v>553</v>
      </c>
      <c r="F494" s="30"/>
      <c r="G494" s="89" t="s">
        <v>617</v>
      </c>
      <c r="H494" s="55">
        <v>35.78</v>
      </c>
      <c r="I494" s="56">
        <f t="shared" si="74"/>
        <v>0</v>
      </c>
    </row>
    <row r="495" spans="1:9" x14ac:dyDescent="0.25">
      <c r="A495" s="31" t="s">
        <v>423</v>
      </c>
      <c r="B495" s="31"/>
      <c r="C495" s="31" t="s">
        <v>529</v>
      </c>
      <c r="D495" s="78">
        <v>0</v>
      </c>
      <c r="E495" s="65" t="s">
        <v>553</v>
      </c>
      <c r="F495" s="30">
        <v>320</v>
      </c>
      <c r="G495" s="56">
        <f t="shared" si="72"/>
        <v>0</v>
      </c>
      <c r="H495" s="55">
        <v>324.39</v>
      </c>
      <c r="I495" s="56">
        <f t="shared" ref="I495:I515" si="75">$D495*H495</f>
        <v>0</v>
      </c>
    </row>
    <row r="496" spans="1:9" x14ac:dyDescent="0.25">
      <c r="A496" s="31" t="s">
        <v>424</v>
      </c>
      <c r="B496" s="31"/>
      <c r="C496" s="31" t="s">
        <v>530</v>
      </c>
      <c r="D496" s="78">
        <v>3</v>
      </c>
      <c r="E496" s="65" t="s">
        <v>553</v>
      </c>
      <c r="F496" s="30">
        <v>99.8</v>
      </c>
      <c r="G496" s="56">
        <f t="shared" si="72"/>
        <v>299.39999999999998</v>
      </c>
      <c r="H496" s="55">
        <v>73.53</v>
      </c>
      <c r="I496" s="56">
        <f t="shared" si="75"/>
        <v>220.59</v>
      </c>
    </row>
    <row r="497" spans="1:9" x14ac:dyDescent="0.25">
      <c r="A497" s="32" t="s">
        <v>418</v>
      </c>
      <c r="B497" s="32"/>
      <c r="C497" s="32" t="s">
        <v>524</v>
      </c>
      <c r="D497" s="79"/>
      <c r="E497" s="66"/>
      <c r="F497" s="33"/>
      <c r="G497" s="57">
        <f>SUM(G491:G496)</f>
        <v>6904.9999999999991</v>
      </c>
      <c r="H497" s="33"/>
      <c r="I497" s="57">
        <f>SUM(I491:I496)</f>
        <v>6855.41</v>
      </c>
    </row>
    <row r="498" spans="1:9" x14ac:dyDescent="0.25">
      <c r="A498" s="31"/>
      <c r="B498" s="31"/>
      <c r="C498" s="31"/>
      <c r="D498" s="78"/>
      <c r="E498" s="65"/>
      <c r="F498" s="30"/>
      <c r="G498" s="56"/>
      <c r="H498" s="30"/>
      <c r="I498" s="56"/>
    </row>
    <row r="499" spans="1:9" x14ac:dyDescent="0.25">
      <c r="A499" s="31" t="s">
        <v>426</v>
      </c>
      <c r="B499" s="31"/>
      <c r="C499" s="31" t="s">
        <v>534</v>
      </c>
      <c r="D499" s="78">
        <v>98</v>
      </c>
      <c r="E499" s="65" t="s">
        <v>556</v>
      </c>
      <c r="F499" s="30">
        <v>19.899999999999999</v>
      </c>
      <c r="G499" s="56">
        <f t="shared" si="72"/>
        <v>1950.1999999999998</v>
      </c>
      <c r="H499" s="55">
        <v>20.64</v>
      </c>
      <c r="I499" s="56">
        <f t="shared" ref="I499:I519" si="76">$D499*H499</f>
        <v>2022.72</v>
      </c>
    </row>
    <row r="500" spans="1:9" x14ac:dyDescent="0.25">
      <c r="A500" s="31" t="s">
        <v>427</v>
      </c>
      <c r="B500" s="31"/>
      <c r="C500" s="31" t="s">
        <v>535</v>
      </c>
      <c r="D500" s="78">
        <v>98</v>
      </c>
      <c r="E500" s="65" t="s">
        <v>556</v>
      </c>
      <c r="F500" s="30">
        <v>29.9</v>
      </c>
      <c r="G500" s="56">
        <f t="shared" si="72"/>
        <v>2930.2</v>
      </c>
      <c r="H500" s="55">
        <v>14.75</v>
      </c>
      <c r="I500" s="56">
        <f t="shared" si="76"/>
        <v>1445.5</v>
      </c>
    </row>
    <row r="501" spans="1:9" x14ac:dyDescent="0.25">
      <c r="A501" s="31" t="s">
        <v>428</v>
      </c>
      <c r="B501" s="31"/>
      <c r="C501" s="31" t="s">
        <v>536</v>
      </c>
      <c r="D501" s="78">
        <v>98</v>
      </c>
      <c r="E501" s="65" t="s">
        <v>556</v>
      </c>
      <c r="F501" s="30">
        <v>142.80000000000001</v>
      </c>
      <c r="G501" s="56">
        <f t="shared" si="72"/>
        <v>13994.400000000001</v>
      </c>
      <c r="H501" s="55">
        <v>108.13</v>
      </c>
      <c r="I501" s="56">
        <f t="shared" si="76"/>
        <v>10596.74</v>
      </c>
    </row>
    <row r="502" spans="1:9" x14ac:dyDescent="0.25">
      <c r="A502" s="31" t="s">
        <v>429</v>
      </c>
      <c r="B502" s="31"/>
      <c r="C502" s="31" t="s">
        <v>537</v>
      </c>
      <c r="D502" s="78">
        <v>16</v>
      </c>
      <c r="E502" s="65" t="s">
        <v>553</v>
      </c>
      <c r="F502" s="30">
        <v>99.8</v>
      </c>
      <c r="G502" s="56">
        <f t="shared" si="72"/>
        <v>1596.8</v>
      </c>
      <c r="H502" s="55">
        <v>88.47</v>
      </c>
      <c r="I502" s="56">
        <f t="shared" si="76"/>
        <v>1415.52</v>
      </c>
    </row>
    <row r="503" spans="1:9" x14ac:dyDescent="0.25">
      <c r="A503" s="32" t="s">
        <v>425</v>
      </c>
      <c r="B503" s="32"/>
      <c r="C503" s="32" t="s">
        <v>533</v>
      </c>
      <c r="D503" s="79"/>
      <c r="E503" s="66"/>
      <c r="F503" s="33"/>
      <c r="G503" s="57">
        <f>SUM(G499:G502)</f>
        <v>20471.600000000002</v>
      </c>
      <c r="H503" s="33"/>
      <c r="I503" s="57">
        <f>SUM(I499:I502)</f>
        <v>15480.48</v>
      </c>
    </row>
    <row r="504" spans="1:9" x14ac:dyDescent="0.25">
      <c r="A504" s="31"/>
      <c r="B504" s="31"/>
      <c r="C504" s="31"/>
      <c r="D504" s="78"/>
      <c r="E504" s="65"/>
      <c r="F504" s="30"/>
      <c r="G504" s="56"/>
      <c r="H504" s="30"/>
      <c r="I504" s="56"/>
    </row>
    <row r="505" spans="1:9" x14ac:dyDescent="0.25">
      <c r="A505" s="31" t="s">
        <v>431</v>
      </c>
      <c r="B505" s="31"/>
      <c r="C505" s="31" t="s">
        <v>539</v>
      </c>
      <c r="D505" s="78">
        <v>2</v>
      </c>
      <c r="E505" s="65" t="s">
        <v>553</v>
      </c>
      <c r="F505" s="30">
        <v>3995</v>
      </c>
      <c r="G505" s="56">
        <f t="shared" si="72"/>
        <v>7990</v>
      </c>
      <c r="H505" s="55">
        <v>2604.9499999999998</v>
      </c>
      <c r="I505" s="56">
        <f t="shared" ref="I505:I525" si="77">$D505*H505</f>
        <v>5209.8999999999996</v>
      </c>
    </row>
    <row r="506" spans="1:9" x14ac:dyDescent="0.25">
      <c r="A506" s="32" t="s">
        <v>430</v>
      </c>
      <c r="B506" s="32"/>
      <c r="C506" s="32" t="s">
        <v>538</v>
      </c>
      <c r="D506" s="79"/>
      <c r="E506" s="66"/>
      <c r="F506" s="33"/>
      <c r="G506" s="57">
        <f>SUM(G505)</f>
        <v>7990</v>
      </c>
      <c r="H506" s="33"/>
      <c r="I506" s="57">
        <f>SUM(I505)</f>
        <v>5209.8999999999996</v>
      </c>
    </row>
    <row r="507" spans="1:9" x14ac:dyDescent="0.25">
      <c r="A507" s="31"/>
      <c r="B507" s="31"/>
      <c r="C507" s="31"/>
      <c r="D507" s="78"/>
      <c r="E507" s="65"/>
      <c r="F507" s="30"/>
      <c r="G507" s="56"/>
      <c r="H507" s="30"/>
      <c r="I507" s="56"/>
    </row>
    <row r="508" spans="1:9" x14ac:dyDescent="0.25">
      <c r="A508" s="34"/>
      <c r="B508" s="34"/>
      <c r="C508" s="45" t="s">
        <v>560</v>
      </c>
      <c r="D508" s="80"/>
      <c r="E508" s="67"/>
      <c r="F508" s="35"/>
      <c r="G508" s="59"/>
      <c r="H508" s="35"/>
      <c r="I508" s="59"/>
    </row>
    <row r="509" spans="1:9" x14ac:dyDescent="0.25">
      <c r="A509" s="34" t="str">
        <f>A13</f>
        <v xml:space="preserve"> 4. 2. 1. 1.</v>
      </c>
      <c r="B509" s="34"/>
      <c r="C509" s="34" t="str">
        <f>C13</f>
        <v>Holzkonstruktion Atriumdach</v>
      </c>
      <c r="D509" s="80"/>
      <c r="E509" s="67"/>
      <c r="F509" s="35"/>
      <c r="G509" s="59">
        <f>G13</f>
        <v>0</v>
      </c>
      <c r="H509" s="35"/>
      <c r="I509" s="59">
        <f>I13</f>
        <v>216260</v>
      </c>
    </row>
    <row r="510" spans="1:9" x14ac:dyDescent="0.25">
      <c r="A510" s="34" t="str">
        <f>A22</f>
        <v xml:space="preserve"> 4. 2. 2. 1.</v>
      </c>
      <c r="B510" s="34"/>
      <c r="C510" s="34" t="str">
        <f>C22</f>
        <v>Verglasung Atriumdach</v>
      </c>
      <c r="D510" s="80"/>
      <c r="E510" s="67"/>
      <c r="F510" s="35"/>
      <c r="G510" s="59">
        <f>G22</f>
        <v>0</v>
      </c>
      <c r="H510" s="35"/>
      <c r="I510" s="59">
        <f>I22</f>
        <v>0</v>
      </c>
    </row>
    <row r="511" spans="1:9" x14ac:dyDescent="0.25">
      <c r="A511" s="34" t="str">
        <f>A45</f>
        <v xml:space="preserve"> 4. 2. 3.</v>
      </c>
      <c r="B511" s="34"/>
      <c r="C511" s="34" t="str">
        <f>C45</f>
        <v>Abdichtung + Dämmung (Flachdach)</v>
      </c>
      <c r="D511" s="80"/>
      <c r="E511" s="67"/>
      <c r="F511" s="35"/>
      <c r="G511" s="59">
        <f>G45</f>
        <v>249707.69999999998</v>
      </c>
      <c r="H511" s="35"/>
      <c r="I511" s="59">
        <f>I45</f>
        <v>172676.3</v>
      </c>
    </row>
    <row r="512" spans="1:9" x14ac:dyDescent="0.25">
      <c r="A512" s="34" t="str">
        <f>A59</f>
        <v xml:space="preserve"> 4. 2. 4.</v>
      </c>
      <c r="B512" s="34"/>
      <c r="C512" s="34" t="str">
        <f>C59</f>
        <v>Begrünung + Kies (Flachdach)</v>
      </c>
      <c r="D512" s="80"/>
      <c r="E512" s="67"/>
      <c r="F512" s="35"/>
      <c r="G512" s="59">
        <f>G59</f>
        <v>106263.3</v>
      </c>
      <c r="H512" s="35"/>
      <c r="I512" s="59">
        <f>I59</f>
        <v>84103.87</v>
      </c>
    </row>
    <row r="513" spans="1:9" x14ac:dyDescent="0.25">
      <c r="A513" s="34" t="str">
        <f>A71</f>
        <v xml:space="preserve"> 4. 2. 5.</v>
      </c>
      <c r="B513" s="34"/>
      <c r="C513" s="34" t="str">
        <f>C71</f>
        <v>Plattenbelag (Flachdach)</v>
      </c>
      <c r="D513" s="80"/>
      <c r="E513" s="67"/>
      <c r="F513" s="35"/>
      <c r="G513" s="59">
        <f>G71</f>
        <v>131773.20000000001</v>
      </c>
      <c r="H513" s="35"/>
      <c r="I513" s="59">
        <f>I71</f>
        <v>100207.13</v>
      </c>
    </row>
    <row r="514" spans="1:9" x14ac:dyDescent="0.25">
      <c r="A514" s="34" t="str">
        <f>A100</f>
        <v xml:space="preserve"> 4. 2. 6.</v>
      </c>
      <c r="B514" s="34"/>
      <c r="C514" s="34" t="str">
        <f>C100</f>
        <v>Treppenhaus</v>
      </c>
      <c r="D514" s="80"/>
      <c r="E514" s="67"/>
      <c r="F514" s="35"/>
      <c r="G514" s="59">
        <f>G100</f>
        <v>9274.1</v>
      </c>
      <c r="H514" s="35"/>
      <c r="I514" s="59">
        <f>I100</f>
        <v>5297.9500000000007</v>
      </c>
    </row>
    <row r="515" spans="1:9" x14ac:dyDescent="0.25">
      <c r="A515" s="34" t="str">
        <f>A162</f>
        <v xml:space="preserve"> 4. 2. 7.</v>
      </c>
      <c r="B515" s="34"/>
      <c r="C515" s="34" t="str">
        <f>C162</f>
        <v>Terrassen</v>
      </c>
      <c r="D515" s="80"/>
      <c r="E515" s="67"/>
      <c r="F515" s="35"/>
      <c r="G515" s="59">
        <f>G162</f>
        <v>191329.2</v>
      </c>
      <c r="H515" s="35"/>
      <c r="I515" s="59">
        <f>I162</f>
        <v>167809.43000000002</v>
      </c>
    </row>
    <row r="516" spans="1:9" x14ac:dyDescent="0.25">
      <c r="A516" s="34" t="str">
        <f>A211</f>
        <v xml:space="preserve"> 4. 2. 8.</v>
      </c>
      <c r="B516" s="34"/>
      <c r="C516" s="34" t="str">
        <f>C211</f>
        <v>Balkone</v>
      </c>
      <c r="D516" s="80"/>
      <c r="E516" s="67"/>
      <c r="F516" s="35"/>
      <c r="G516" s="59">
        <f>G211</f>
        <v>32315.80000000001</v>
      </c>
      <c r="H516" s="35"/>
      <c r="I516" s="59">
        <f>I211</f>
        <v>22609.359999999993</v>
      </c>
    </row>
    <row r="517" spans="1:9" x14ac:dyDescent="0.25">
      <c r="A517" s="34" t="str">
        <f>A221</f>
        <v xml:space="preserve"> 4. 2. 9.</v>
      </c>
      <c r="B517" s="34"/>
      <c r="C517" s="34" t="str">
        <f>C221</f>
        <v>Brücke</v>
      </c>
      <c r="D517" s="80"/>
      <c r="E517" s="67"/>
      <c r="F517" s="35"/>
      <c r="G517" s="59">
        <f>G221</f>
        <v>0</v>
      </c>
      <c r="H517" s="35"/>
      <c r="I517" s="59">
        <f>I221</f>
        <v>0</v>
      </c>
    </row>
    <row r="518" spans="1:9" x14ac:dyDescent="0.25">
      <c r="A518" s="34" t="str">
        <f>A231</f>
        <v xml:space="preserve"> 4. 2.10. 1.</v>
      </c>
      <c r="B518" s="34"/>
      <c r="C518" s="34" t="str">
        <f>C231</f>
        <v>Klempner</v>
      </c>
      <c r="D518" s="80"/>
      <c r="E518" s="67"/>
      <c r="F518" s="35"/>
      <c r="G518" s="59">
        <f>G231</f>
        <v>48385.399999999994</v>
      </c>
      <c r="H518" s="35"/>
      <c r="I518" s="59">
        <f>I231</f>
        <v>54968.81</v>
      </c>
    </row>
    <row r="519" spans="1:9" x14ac:dyDescent="0.25">
      <c r="A519" s="34" t="str">
        <f>A237</f>
        <v xml:space="preserve"> 4. 2.10. 2.</v>
      </c>
      <c r="B519" s="34"/>
      <c r="C519" s="34" t="str">
        <f>C237</f>
        <v>Attikaabdeckung</v>
      </c>
      <c r="D519" s="80"/>
      <c r="E519" s="67"/>
      <c r="F519" s="35"/>
      <c r="G519" s="59">
        <f>G237</f>
        <v>0</v>
      </c>
      <c r="H519" s="35"/>
      <c r="I519" s="59">
        <f>I237</f>
        <v>0</v>
      </c>
    </row>
    <row r="520" spans="1:9" x14ac:dyDescent="0.25">
      <c r="A520" s="34" t="str">
        <f>A240</f>
        <v xml:space="preserve"> 4. 2.11.</v>
      </c>
      <c r="B520" s="34"/>
      <c r="C520" s="34" t="str">
        <f>C240</f>
        <v>RWA-Anlagen und Oberlichter</v>
      </c>
      <c r="D520" s="80"/>
      <c r="E520" s="67"/>
      <c r="F520" s="35"/>
      <c r="G520" s="59">
        <f>G240</f>
        <v>11985</v>
      </c>
      <c r="H520" s="35"/>
      <c r="I520" s="59">
        <f>I240</f>
        <v>7814.8499999999995</v>
      </c>
    </row>
    <row r="521" spans="1:9" x14ac:dyDescent="0.25">
      <c r="A521" s="29" t="s">
        <v>17</v>
      </c>
      <c r="B521" s="29"/>
      <c r="C521" s="29" t="s">
        <v>434</v>
      </c>
      <c r="D521" s="80"/>
      <c r="E521" s="67"/>
      <c r="F521" s="35">
        <f>SUM(G509:G520)</f>
        <v>781033.70000000007</v>
      </c>
      <c r="G521" s="59"/>
      <c r="H521" s="35">
        <f>SUM(I509:I520)</f>
        <v>831747.70000000007</v>
      </c>
      <c r="I521" s="59"/>
    </row>
    <row r="522" spans="1:9" x14ac:dyDescent="0.25">
      <c r="A522" s="34" t="str">
        <f>A264</f>
        <v xml:space="preserve"> 5. 2. 1.</v>
      </c>
      <c r="B522" s="34"/>
      <c r="C522" s="34" t="str">
        <f>C264</f>
        <v>Abdichtung + Dämmung (Flachdach)</v>
      </c>
      <c r="D522" s="80"/>
      <c r="E522" s="67"/>
      <c r="F522" s="35"/>
      <c r="G522" s="59">
        <f>G264</f>
        <v>295896.3</v>
      </c>
      <c r="H522" s="35"/>
      <c r="I522" s="59">
        <f>I264</f>
        <v>208463.36000000002</v>
      </c>
    </row>
    <row r="523" spans="1:9" x14ac:dyDescent="0.25">
      <c r="A523" s="34" t="str">
        <f>A278</f>
        <v xml:space="preserve"> 5. 2. 2.</v>
      </c>
      <c r="B523" s="34"/>
      <c r="C523" s="34" t="str">
        <f>C278</f>
        <v>Begrünung + Kies (Flachdach)</v>
      </c>
      <c r="D523" s="80"/>
      <c r="E523" s="67"/>
      <c r="F523" s="35"/>
      <c r="G523" s="59">
        <f>G278</f>
        <v>163109.09999999998</v>
      </c>
      <c r="H523" s="35"/>
      <c r="I523" s="59">
        <f>I278</f>
        <v>128697.72</v>
      </c>
    </row>
    <row r="524" spans="1:9" x14ac:dyDescent="0.25">
      <c r="A524" s="34" t="str">
        <f>A290</f>
        <v xml:space="preserve"> 5. 2. 3.</v>
      </c>
      <c r="B524" s="34"/>
      <c r="C524" s="34" t="str">
        <f>C290</f>
        <v>Plattenbelag (Flachdach)</v>
      </c>
      <c r="D524" s="80"/>
      <c r="E524" s="67"/>
      <c r="F524" s="35"/>
      <c r="G524" s="59">
        <f>G290</f>
        <v>91744.400000000009</v>
      </c>
      <c r="H524" s="35"/>
      <c r="I524" s="59">
        <f>I290</f>
        <v>69684.81</v>
      </c>
    </row>
    <row r="525" spans="1:9" x14ac:dyDescent="0.25">
      <c r="A525" s="34" t="str">
        <f>A319</f>
        <v xml:space="preserve"> 5. 2. 4.</v>
      </c>
      <c r="B525" s="34"/>
      <c r="C525" s="34" t="str">
        <f>C319</f>
        <v>Treppenhaus</v>
      </c>
      <c r="D525" s="80"/>
      <c r="E525" s="67"/>
      <c r="F525" s="35"/>
      <c r="G525" s="59">
        <f>G319</f>
        <v>9274.1</v>
      </c>
      <c r="H525" s="35"/>
      <c r="I525" s="59">
        <f>I319</f>
        <v>5297.9500000000007</v>
      </c>
    </row>
    <row r="526" spans="1:9" x14ac:dyDescent="0.25">
      <c r="A526" s="34" t="str">
        <f>A382</f>
        <v xml:space="preserve"> 5. 2. 5.</v>
      </c>
      <c r="B526" s="34"/>
      <c r="C526" s="34" t="str">
        <f>C382</f>
        <v>Terrassen</v>
      </c>
      <c r="D526" s="80"/>
      <c r="E526" s="67"/>
      <c r="F526" s="35"/>
      <c r="G526" s="59">
        <f>G382</f>
        <v>238599.7</v>
      </c>
      <c r="H526" s="35"/>
      <c r="I526" s="59">
        <f>I382</f>
        <v>167439.53000000006</v>
      </c>
    </row>
    <row r="527" spans="1:9" x14ac:dyDescent="0.25">
      <c r="A527" s="34" t="str">
        <f>A432</f>
        <v xml:space="preserve"> 5. 2. 6.</v>
      </c>
      <c r="B527" s="34"/>
      <c r="C527" s="34" t="str">
        <f>C432</f>
        <v>Balkone</v>
      </c>
      <c r="D527" s="80"/>
      <c r="E527" s="67"/>
      <c r="F527" s="35"/>
      <c r="G527" s="59">
        <f>G432</f>
        <v>89135.5</v>
      </c>
      <c r="H527" s="35"/>
      <c r="I527" s="59">
        <f>I432</f>
        <v>64126.410000000011</v>
      </c>
    </row>
    <row r="528" spans="1:9" x14ac:dyDescent="0.25">
      <c r="A528" s="34" t="str">
        <f>A442</f>
        <v xml:space="preserve"> 5. 2. 7.</v>
      </c>
      <c r="B528" s="34"/>
      <c r="C528" s="34" t="str">
        <f>C442</f>
        <v>Brücke</v>
      </c>
      <c r="D528" s="80"/>
      <c r="E528" s="67"/>
      <c r="F528" s="35"/>
      <c r="G528" s="59">
        <f>G442</f>
        <v>8124.9000000000005</v>
      </c>
      <c r="H528" s="35"/>
      <c r="I528" s="59">
        <f>I442</f>
        <v>5721.87</v>
      </c>
    </row>
    <row r="529" spans="1:9" x14ac:dyDescent="0.25">
      <c r="A529" s="34" t="str">
        <f>A450</f>
        <v xml:space="preserve"> 5. 2. 8. 1.</v>
      </c>
      <c r="B529" s="34"/>
      <c r="C529" s="34" t="str">
        <f>C450</f>
        <v>Klempner</v>
      </c>
      <c r="D529" s="80"/>
      <c r="E529" s="67"/>
      <c r="F529" s="35"/>
      <c r="G529" s="59">
        <f>G450</f>
        <v>64503.6</v>
      </c>
      <c r="H529" s="35"/>
      <c r="I529" s="59">
        <f>I450</f>
        <v>63875.549999999996</v>
      </c>
    </row>
    <row r="530" spans="1:9" x14ac:dyDescent="0.25">
      <c r="A530" s="34" t="str">
        <f>A456</f>
        <v xml:space="preserve"> 5. 2. 8. 2.</v>
      </c>
      <c r="B530" s="34"/>
      <c r="C530" s="34" t="str">
        <f>C456</f>
        <v>Attikaabdeckung</v>
      </c>
      <c r="D530" s="80"/>
      <c r="E530" s="67"/>
      <c r="F530" s="35"/>
      <c r="G530" s="59">
        <f>G456</f>
        <v>0</v>
      </c>
      <c r="H530" s="35"/>
      <c r="I530" s="59">
        <f>I456</f>
        <v>0</v>
      </c>
    </row>
    <row r="531" spans="1:9" x14ac:dyDescent="0.25">
      <c r="A531" s="34" t="str">
        <f>A459</f>
        <v xml:space="preserve"> 5. 2. 9.</v>
      </c>
      <c r="B531" s="34"/>
      <c r="C531" s="34" t="str">
        <f>C459</f>
        <v>RWA-Anlagen und Oberlichter</v>
      </c>
      <c r="D531" s="80"/>
      <c r="E531" s="67"/>
      <c r="F531" s="35"/>
      <c r="G531" s="59">
        <f>G459</f>
        <v>11985</v>
      </c>
      <c r="H531" s="35"/>
      <c r="I531" s="59">
        <f>I459</f>
        <v>7814.8499999999995</v>
      </c>
    </row>
    <row r="532" spans="1:9" x14ac:dyDescent="0.25">
      <c r="A532" s="29" t="s">
        <v>211</v>
      </c>
      <c r="B532" s="29"/>
      <c r="C532" s="29" t="s">
        <v>540</v>
      </c>
      <c r="D532" s="80"/>
      <c r="E532" s="67"/>
      <c r="F532" s="35">
        <f>SUM(G522:G531)</f>
        <v>972372.59999999986</v>
      </c>
      <c r="G532" s="59"/>
      <c r="H532" s="35">
        <f>SUM(I522:I531)</f>
        <v>721122.05000000016</v>
      </c>
      <c r="I532" s="59"/>
    </row>
    <row r="533" spans="1:9" x14ac:dyDescent="0.25">
      <c r="A533" s="34" t="str">
        <f>A489</f>
        <v xml:space="preserve"> 7. 2. 1.</v>
      </c>
      <c r="B533" s="34"/>
      <c r="C533" s="34" t="str">
        <f>C489</f>
        <v>Treppenhaus/Dach Rampe</v>
      </c>
      <c r="D533" s="80"/>
      <c r="E533" s="67"/>
      <c r="F533" s="35"/>
      <c r="G533" s="59">
        <f>G489</f>
        <v>31899.700000000004</v>
      </c>
      <c r="H533" s="35"/>
      <c r="I533" s="59">
        <f>I489</f>
        <v>20148.350000000006</v>
      </c>
    </row>
    <row r="534" spans="1:9" x14ac:dyDescent="0.25">
      <c r="A534" s="34" t="str">
        <f>A497</f>
        <v xml:space="preserve"> 7. 2. 2. 1.</v>
      </c>
      <c r="B534" s="34"/>
      <c r="C534" s="34" t="str">
        <f>C497</f>
        <v>Klempner</v>
      </c>
      <c r="D534" s="80"/>
      <c r="E534" s="67"/>
      <c r="F534" s="35"/>
      <c r="G534" s="59">
        <f>G497</f>
        <v>6904.9999999999991</v>
      </c>
      <c r="H534" s="35"/>
      <c r="I534" s="59">
        <f>I497</f>
        <v>6855.41</v>
      </c>
    </row>
    <row r="535" spans="1:9" x14ac:dyDescent="0.25">
      <c r="A535" s="34" t="str">
        <f>A503</f>
        <v xml:space="preserve"> 7. 2. 2. 2.</v>
      </c>
      <c r="B535" s="34"/>
      <c r="C535" s="34" t="str">
        <f>C503</f>
        <v>Attikaabdeckung</v>
      </c>
      <c r="D535" s="80"/>
      <c r="E535" s="67"/>
      <c r="F535" s="35"/>
      <c r="G535" s="59">
        <f>G503</f>
        <v>20471.600000000002</v>
      </c>
      <c r="H535" s="35"/>
      <c r="I535" s="59">
        <f>I503</f>
        <v>15480.48</v>
      </c>
    </row>
    <row r="536" spans="1:9" x14ac:dyDescent="0.25">
      <c r="A536" s="34" t="str">
        <f>A506</f>
        <v xml:space="preserve"> 7. 2. 3.</v>
      </c>
      <c r="B536" s="34"/>
      <c r="C536" s="34" t="str">
        <f>C506</f>
        <v>RWA-Anlagen und Oberlichter</v>
      </c>
      <c r="D536" s="80"/>
      <c r="E536" s="67"/>
      <c r="F536" s="35"/>
      <c r="G536" s="59">
        <f t="shared" ref="G536:I536" si="78">G506</f>
        <v>7990</v>
      </c>
      <c r="H536" s="35"/>
      <c r="I536" s="59">
        <f t="shared" si="78"/>
        <v>5209.8999999999996</v>
      </c>
    </row>
    <row r="537" spans="1:9" x14ac:dyDescent="0.25">
      <c r="A537" s="29" t="s">
        <v>394</v>
      </c>
      <c r="B537" s="29"/>
      <c r="C537" s="29" t="s">
        <v>550</v>
      </c>
      <c r="D537" s="80"/>
      <c r="E537" s="67"/>
      <c r="F537" s="35">
        <f>SUM(G533:G536)</f>
        <v>67266.3</v>
      </c>
      <c r="G537" s="59"/>
      <c r="H537" s="35">
        <f>SUM(I533:I536)</f>
        <v>47694.140000000007</v>
      </c>
      <c r="I537" s="59"/>
    </row>
    <row r="538" spans="1:9" ht="14.4" thickBot="1" x14ac:dyDescent="0.3">
      <c r="A538" s="31"/>
      <c r="B538" s="31"/>
      <c r="C538" s="31"/>
      <c r="D538" s="78"/>
      <c r="E538" s="65"/>
      <c r="F538" s="30"/>
      <c r="G538" s="56"/>
      <c r="H538" s="30"/>
      <c r="I538" s="56"/>
    </row>
    <row r="539" spans="1:9" x14ac:dyDescent="0.25">
      <c r="A539" s="46">
        <v>200</v>
      </c>
      <c r="B539" s="47"/>
      <c r="C539" s="47" t="s">
        <v>557</v>
      </c>
      <c r="D539" s="83"/>
      <c r="E539" s="70"/>
      <c r="F539" s="48"/>
      <c r="G539" s="62">
        <f>SUM(G509:G536)</f>
        <v>1820672.6</v>
      </c>
      <c r="H539" s="112"/>
      <c r="I539" s="113">
        <f>SUM(I509:I536)</f>
        <v>1600563.8900000001</v>
      </c>
    </row>
    <row r="540" spans="1:9" x14ac:dyDescent="0.25">
      <c r="A540" s="49">
        <v>200</v>
      </c>
      <c r="B540" s="50"/>
      <c r="C540" s="50" t="s">
        <v>558</v>
      </c>
      <c r="D540" s="84"/>
      <c r="E540" s="71"/>
      <c r="F540" s="51">
        <v>0</v>
      </c>
      <c r="G540" s="63">
        <f>-F540*G539</f>
        <v>0</v>
      </c>
      <c r="H540" s="114">
        <v>0</v>
      </c>
      <c r="I540" s="115">
        <f>-H540*I539</f>
        <v>0</v>
      </c>
    </row>
    <row r="541" spans="1:9" ht="14.4" thickBot="1" x14ac:dyDescent="0.3">
      <c r="A541" s="52">
        <v>200</v>
      </c>
      <c r="B541" s="53"/>
      <c r="C541" s="53" t="s">
        <v>559</v>
      </c>
      <c r="D541" s="85"/>
      <c r="E541" s="72"/>
      <c r="F541" s="54"/>
      <c r="G541" s="64">
        <f>SUM(G539:G540)</f>
        <v>1820672.6</v>
      </c>
      <c r="H541" s="116"/>
      <c r="I541" s="117">
        <f>SUM(I539:I540)</f>
        <v>1600563.8900000001</v>
      </c>
    </row>
  </sheetData>
  <printOptions gridLines="1"/>
  <pageMargins left="0.70866141732283472" right="0.70866141732283472" top="0.78740157480314965" bottom="0.78740157480314965" header="0.31496062992125984" footer="0.31496062992125984"/>
  <pageSetup paperSize="8" scale="95" fitToHeight="7" orientation="portrait" r:id="rId1"/>
  <headerFooter>
    <oddFooter>&amp;L&amp;Z&amp;F, Ausdruck vom 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Neuber, Gerlinde</cp:lastModifiedBy>
  <cp:lastPrinted>2021-11-10T16:03:30Z</cp:lastPrinted>
  <dcterms:created xsi:type="dcterms:W3CDTF">2021-11-10T09:05:35Z</dcterms:created>
  <dcterms:modified xsi:type="dcterms:W3CDTF">2021-11-11T11:53:59Z</dcterms:modified>
</cp:coreProperties>
</file>