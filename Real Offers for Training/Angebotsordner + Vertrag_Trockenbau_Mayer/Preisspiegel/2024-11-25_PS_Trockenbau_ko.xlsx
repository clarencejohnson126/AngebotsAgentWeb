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T:\20006551 Offenbach, LEIQ_Ausbau\4_01 NU - Mieterausbau BTB\Trockenbau_\4_01_02_NU-Vertrag\Preisspiegel\"/>
    </mc:Choice>
  </mc:AlternateContent>
  <xr:revisionPtr revIDLastSave="0" documentId="13_ncr:1_{45634FA2-B53B-4ACB-A340-86AA401D89BD}" xr6:coauthVersionLast="47" xr6:coauthVersionMax="47" xr10:uidLastSave="{00000000-0000-0000-0000-000000000000}"/>
  <bookViews>
    <workbookView xWindow="-108" yWindow="-108" windowWidth="30936" windowHeight="16776" xr2:uid="{AE44FFD4-CF0F-4B40-A471-384F1D0DCA66}"/>
  </bookViews>
  <sheets>
    <sheet name="Tabelle1" sheetId="1" r:id="rId1"/>
  </sheets>
  <definedNames>
    <definedName name="_xlnm.Print_Area" localSheetId="0">Tabelle1!$A$1:$I$257</definedName>
    <definedName name="_xlnm.Print_Titles" localSheetId="0">Tabelle1!$1:$9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2" i="1" l="1"/>
  <c r="J225" i="1"/>
  <c r="K225" i="1" s="1"/>
  <c r="J224" i="1"/>
  <c r="J223" i="1"/>
  <c r="K223" i="1" s="1"/>
  <c r="J222" i="1"/>
  <c r="K222" i="1" s="1"/>
  <c r="J221" i="1"/>
  <c r="K221" i="1" s="1"/>
  <c r="J218" i="1"/>
  <c r="J217" i="1"/>
  <c r="J216" i="1"/>
  <c r="K216" i="1" s="1"/>
  <c r="J215" i="1"/>
  <c r="K215" i="1" s="1"/>
  <c r="J214" i="1"/>
  <c r="K214" i="1" s="1"/>
  <c r="J213" i="1"/>
  <c r="K213" i="1" s="1"/>
  <c r="J212" i="1"/>
  <c r="K212" i="1" s="1"/>
  <c r="J211" i="1"/>
  <c r="K211" i="1" s="1"/>
  <c r="J210" i="1"/>
  <c r="J209" i="1"/>
  <c r="J208" i="1"/>
  <c r="J207" i="1"/>
  <c r="J206" i="1"/>
  <c r="K206" i="1" s="1"/>
  <c r="J203" i="1"/>
  <c r="K203" i="1" s="1"/>
  <c r="J202" i="1"/>
  <c r="J201" i="1"/>
  <c r="J200" i="1"/>
  <c r="J199" i="1"/>
  <c r="J198" i="1"/>
  <c r="J197" i="1"/>
  <c r="J196" i="1"/>
  <c r="J195" i="1"/>
  <c r="J194" i="1"/>
  <c r="J193" i="1"/>
  <c r="J192" i="1"/>
  <c r="K192" i="1" s="1"/>
  <c r="J191" i="1"/>
  <c r="J190" i="1"/>
  <c r="K190" i="1" s="1"/>
  <c r="J189" i="1"/>
  <c r="J188" i="1"/>
  <c r="J187" i="1"/>
  <c r="J186" i="1"/>
  <c r="K186" i="1" s="1"/>
  <c r="J185" i="1"/>
  <c r="J184" i="1"/>
  <c r="J183" i="1"/>
  <c r="K183" i="1" s="1"/>
  <c r="J182" i="1"/>
  <c r="K182" i="1" s="1"/>
  <c r="J178" i="1"/>
  <c r="K178" i="1" s="1"/>
  <c r="J177" i="1"/>
  <c r="K177" i="1" s="1"/>
  <c r="J176" i="1"/>
  <c r="J175" i="1"/>
  <c r="K175" i="1" s="1"/>
  <c r="J172" i="1"/>
  <c r="K172" i="1" s="1"/>
  <c r="J171" i="1"/>
  <c r="K171" i="1" s="1"/>
  <c r="J170" i="1"/>
  <c r="K170" i="1" s="1"/>
  <c r="J169" i="1"/>
  <c r="K169" i="1" s="1"/>
  <c r="J168" i="1"/>
  <c r="K168" i="1" s="1"/>
  <c r="J165" i="1"/>
  <c r="J164" i="1"/>
  <c r="J163" i="1"/>
  <c r="K163" i="1" s="1"/>
  <c r="J162" i="1"/>
  <c r="K162" i="1" s="1"/>
  <c r="J161" i="1"/>
  <c r="K161" i="1" s="1"/>
  <c r="J160" i="1"/>
  <c r="K160" i="1" s="1"/>
  <c r="J159" i="1"/>
  <c r="K159" i="1" s="1"/>
  <c r="J158" i="1"/>
  <c r="K158" i="1" s="1"/>
  <c r="J157" i="1"/>
  <c r="J156" i="1"/>
  <c r="J155" i="1"/>
  <c r="J154" i="1"/>
  <c r="J153" i="1"/>
  <c r="K153" i="1" s="1"/>
  <c r="J150" i="1"/>
  <c r="J149" i="1"/>
  <c r="J148" i="1"/>
  <c r="J147" i="1"/>
  <c r="J146" i="1"/>
  <c r="J145" i="1"/>
  <c r="J144" i="1"/>
  <c r="J143" i="1"/>
  <c r="J142" i="1"/>
  <c r="J141" i="1"/>
  <c r="K141" i="1" s="1"/>
  <c r="J140" i="1"/>
  <c r="J139" i="1"/>
  <c r="J138" i="1"/>
  <c r="K138" i="1" s="1"/>
  <c r="J137" i="1"/>
  <c r="K137" i="1" s="1"/>
  <c r="J136" i="1"/>
  <c r="K136" i="1" s="1"/>
  <c r="J135" i="1"/>
  <c r="J134" i="1"/>
  <c r="J133" i="1"/>
  <c r="J132" i="1"/>
  <c r="J131" i="1"/>
  <c r="J130" i="1"/>
  <c r="J129" i="1"/>
  <c r="J128" i="1"/>
  <c r="J127" i="1"/>
  <c r="K127" i="1" s="1"/>
  <c r="J123" i="1"/>
  <c r="K123" i="1" s="1"/>
  <c r="J122" i="1"/>
  <c r="K122" i="1" s="1"/>
  <c r="J121" i="1"/>
  <c r="J120" i="1"/>
  <c r="K120" i="1" s="1"/>
  <c r="J117" i="1"/>
  <c r="K117" i="1" s="1"/>
  <c r="J116" i="1"/>
  <c r="J115" i="1"/>
  <c r="K115" i="1" s="1"/>
  <c r="J114" i="1"/>
  <c r="K114" i="1" s="1"/>
  <c r="J113" i="1"/>
  <c r="K113" i="1" s="1"/>
  <c r="J110" i="1"/>
  <c r="J109" i="1"/>
  <c r="J108" i="1"/>
  <c r="K108" i="1" s="1"/>
  <c r="J107" i="1"/>
  <c r="K107" i="1" s="1"/>
  <c r="J106" i="1"/>
  <c r="K106" i="1" s="1"/>
  <c r="J105" i="1"/>
  <c r="J104" i="1"/>
  <c r="K104" i="1" s="1"/>
  <c r="J103" i="1"/>
  <c r="K103" i="1" s="1"/>
  <c r="J102" i="1"/>
  <c r="J101" i="1"/>
  <c r="J100" i="1"/>
  <c r="J99" i="1"/>
  <c r="J98" i="1"/>
  <c r="K98" i="1" s="1"/>
  <c r="J95" i="1"/>
  <c r="J94" i="1"/>
  <c r="J93" i="1"/>
  <c r="J92" i="1"/>
  <c r="J91" i="1"/>
  <c r="J90" i="1"/>
  <c r="J89" i="1"/>
  <c r="J88" i="1"/>
  <c r="J87" i="1"/>
  <c r="J86" i="1"/>
  <c r="K86" i="1" s="1"/>
  <c r="J85" i="1"/>
  <c r="K85" i="1" s="1"/>
  <c r="J81" i="1"/>
  <c r="K81" i="1" s="1"/>
  <c r="J80" i="1"/>
  <c r="J79" i="1"/>
  <c r="J78" i="1"/>
  <c r="J77" i="1"/>
  <c r="K77" i="1" s="1"/>
  <c r="J76" i="1"/>
  <c r="J75" i="1"/>
  <c r="J74" i="1"/>
  <c r="K74" i="1" s="1"/>
  <c r="J73" i="1"/>
  <c r="K73" i="1" s="1"/>
  <c r="J72" i="1"/>
  <c r="K72" i="1" s="1"/>
  <c r="J71" i="1"/>
  <c r="K71" i="1" s="1"/>
  <c r="J70" i="1"/>
  <c r="K70" i="1" s="1"/>
  <c r="J69" i="1"/>
  <c r="K69" i="1" s="1"/>
  <c r="J65" i="1"/>
  <c r="K65" i="1" s="1"/>
  <c r="J64" i="1"/>
  <c r="J59" i="1"/>
  <c r="K59" i="1" s="1"/>
  <c r="J58" i="1"/>
  <c r="K58" i="1" s="1"/>
  <c r="J57" i="1"/>
  <c r="K57" i="1" s="1"/>
  <c r="J56" i="1"/>
  <c r="K56" i="1" s="1"/>
  <c r="J55" i="1"/>
  <c r="K55" i="1" s="1"/>
  <c r="J52" i="1"/>
  <c r="J51" i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J43" i="1"/>
  <c r="J42" i="1"/>
  <c r="J41" i="1"/>
  <c r="J40" i="1"/>
  <c r="K40" i="1" s="1"/>
  <c r="J20" i="1"/>
  <c r="J21" i="1"/>
  <c r="J22" i="1"/>
  <c r="J23" i="1"/>
  <c r="K23" i="1" s="1"/>
  <c r="J24" i="1"/>
  <c r="K24" i="1" s="1"/>
  <c r="J25" i="1"/>
  <c r="K25" i="1" s="1"/>
  <c r="J27" i="1"/>
  <c r="K27" i="1" s="1"/>
  <c r="J29" i="1"/>
  <c r="J30" i="1"/>
  <c r="J31" i="1"/>
  <c r="J32" i="1"/>
  <c r="J33" i="1"/>
  <c r="J34" i="1"/>
  <c r="J35" i="1"/>
  <c r="J36" i="1"/>
  <c r="J37" i="1"/>
  <c r="K224" i="1"/>
  <c r="K140" i="1"/>
  <c r="K116" i="1"/>
  <c r="K105" i="1"/>
  <c r="K64" i="1"/>
  <c r="I127" i="1"/>
  <c r="F225" i="1"/>
  <c r="F224" i="1"/>
  <c r="G224" i="1" s="1"/>
  <c r="F223" i="1"/>
  <c r="G223" i="1" s="1"/>
  <c r="F222" i="1"/>
  <c r="G222" i="1" s="1"/>
  <c r="F221" i="1"/>
  <c r="G221" i="1" s="1"/>
  <c r="F218" i="1"/>
  <c r="F217" i="1"/>
  <c r="F216" i="1"/>
  <c r="G216" i="1" s="1"/>
  <c r="F215" i="1"/>
  <c r="G215" i="1" s="1"/>
  <c r="F214" i="1"/>
  <c r="G214" i="1" s="1"/>
  <c r="F213" i="1"/>
  <c r="G213" i="1" s="1"/>
  <c r="F212" i="1"/>
  <c r="G212" i="1" s="1"/>
  <c r="F211" i="1"/>
  <c r="G211" i="1" s="1"/>
  <c r="F210" i="1"/>
  <c r="F209" i="1"/>
  <c r="F208" i="1"/>
  <c r="F207" i="1"/>
  <c r="F206" i="1"/>
  <c r="G206" i="1" s="1"/>
  <c r="F203" i="1"/>
  <c r="G203" i="1" s="1"/>
  <c r="F202" i="1"/>
  <c r="F201" i="1"/>
  <c r="F200" i="1"/>
  <c r="F199" i="1"/>
  <c r="F198" i="1"/>
  <c r="F197" i="1"/>
  <c r="F196" i="1"/>
  <c r="F195" i="1"/>
  <c r="F194" i="1"/>
  <c r="F193" i="1"/>
  <c r="F192" i="1"/>
  <c r="G192" i="1" s="1"/>
  <c r="F191" i="1"/>
  <c r="F190" i="1"/>
  <c r="G190" i="1" s="1"/>
  <c r="F189" i="1"/>
  <c r="F188" i="1"/>
  <c r="F187" i="1"/>
  <c r="F186" i="1"/>
  <c r="G186" i="1" s="1"/>
  <c r="F185" i="1"/>
  <c r="F184" i="1"/>
  <c r="F183" i="1"/>
  <c r="G183" i="1" s="1"/>
  <c r="F182" i="1"/>
  <c r="G182" i="1" s="1"/>
  <c r="F178" i="1"/>
  <c r="G178" i="1" s="1"/>
  <c r="F177" i="1"/>
  <c r="G177" i="1" s="1"/>
  <c r="F176" i="1"/>
  <c r="F175" i="1"/>
  <c r="F172" i="1"/>
  <c r="G172" i="1" s="1"/>
  <c r="F171" i="1"/>
  <c r="G171" i="1" s="1"/>
  <c r="F170" i="1"/>
  <c r="G170" i="1" s="1"/>
  <c r="F169" i="1"/>
  <c r="G169" i="1" s="1"/>
  <c r="F168" i="1"/>
  <c r="G168" i="1" s="1"/>
  <c r="F165" i="1"/>
  <c r="F164" i="1"/>
  <c r="F163" i="1"/>
  <c r="F162" i="1"/>
  <c r="G162" i="1" s="1"/>
  <c r="F161" i="1"/>
  <c r="G161" i="1" s="1"/>
  <c r="F160" i="1"/>
  <c r="G160" i="1" s="1"/>
  <c r="F159" i="1"/>
  <c r="G159" i="1" s="1"/>
  <c r="F158" i="1"/>
  <c r="G158" i="1" s="1"/>
  <c r="F157" i="1"/>
  <c r="F156" i="1"/>
  <c r="F155" i="1"/>
  <c r="F154" i="1"/>
  <c r="F153" i="1"/>
  <c r="G153" i="1" s="1"/>
  <c r="F150" i="1"/>
  <c r="F149" i="1"/>
  <c r="F148" i="1"/>
  <c r="F147" i="1"/>
  <c r="F146" i="1"/>
  <c r="F145" i="1"/>
  <c r="F144" i="1"/>
  <c r="F143" i="1"/>
  <c r="F142" i="1"/>
  <c r="F141" i="1"/>
  <c r="G141" i="1" s="1"/>
  <c r="F140" i="1"/>
  <c r="G140" i="1" s="1"/>
  <c r="F139" i="1"/>
  <c r="F138" i="1"/>
  <c r="G138" i="1" s="1"/>
  <c r="F137" i="1"/>
  <c r="G137" i="1" s="1"/>
  <c r="F136" i="1"/>
  <c r="G136" i="1" s="1"/>
  <c r="F135" i="1"/>
  <c r="F134" i="1"/>
  <c r="F133" i="1"/>
  <c r="F132" i="1"/>
  <c r="F131" i="1"/>
  <c r="F130" i="1"/>
  <c r="F129" i="1"/>
  <c r="F128" i="1"/>
  <c r="F127" i="1"/>
  <c r="G127" i="1" s="1"/>
  <c r="F123" i="1"/>
  <c r="G123" i="1" s="1"/>
  <c r="F122" i="1"/>
  <c r="G122" i="1" s="1"/>
  <c r="F121" i="1"/>
  <c r="F120" i="1"/>
  <c r="G120" i="1" s="1"/>
  <c r="F117" i="1"/>
  <c r="G117" i="1" s="1"/>
  <c r="F116" i="1"/>
  <c r="G116" i="1" s="1"/>
  <c r="F115" i="1"/>
  <c r="G115" i="1" s="1"/>
  <c r="F114" i="1"/>
  <c r="G114" i="1" s="1"/>
  <c r="F113" i="1"/>
  <c r="G113" i="1" s="1"/>
  <c r="F110" i="1"/>
  <c r="F109" i="1"/>
  <c r="F108" i="1"/>
  <c r="G108" i="1" s="1"/>
  <c r="F107" i="1"/>
  <c r="G107" i="1" s="1"/>
  <c r="F106" i="1"/>
  <c r="G106" i="1" s="1"/>
  <c r="F105" i="1"/>
  <c r="G105" i="1" s="1"/>
  <c r="F104" i="1"/>
  <c r="G104" i="1" s="1"/>
  <c r="F103" i="1"/>
  <c r="G103" i="1" s="1"/>
  <c r="F102" i="1"/>
  <c r="F101" i="1"/>
  <c r="F100" i="1"/>
  <c r="F99" i="1"/>
  <c r="F98" i="1"/>
  <c r="G98" i="1" s="1"/>
  <c r="F95" i="1"/>
  <c r="F94" i="1"/>
  <c r="F93" i="1"/>
  <c r="F92" i="1"/>
  <c r="F91" i="1"/>
  <c r="F90" i="1"/>
  <c r="F89" i="1"/>
  <c r="F88" i="1"/>
  <c r="F87" i="1"/>
  <c r="F86" i="1"/>
  <c r="G86" i="1" s="1"/>
  <c r="F85" i="1"/>
  <c r="G85" i="1" s="1"/>
  <c r="F84" i="1"/>
  <c r="F83" i="1"/>
  <c r="G83" i="1" s="1"/>
  <c r="F82" i="1"/>
  <c r="G82" i="1" s="1"/>
  <c r="F81" i="1"/>
  <c r="G81" i="1" s="1"/>
  <c r="F80" i="1"/>
  <c r="F79" i="1"/>
  <c r="F78" i="1"/>
  <c r="F77" i="1"/>
  <c r="G77" i="1" s="1"/>
  <c r="F76" i="1"/>
  <c r="F75" i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5" i="1"/>
  <c r="G65" i="1" s="1"/>
  <c r="F64" i="1"/>
  <c r="G64" i="1" s="1"/>
  <c r="F63" i="1"/>
  <c r="F62" i="1"/>
  <c r="G62" i="1" s="1"/>
  <c r="F59" i="1"/>
  <c r="G59" i="1" s="1"/>
  <c r="F58" i="1"/>
  <c r="G58" i="1" s="1"/>
  <c r="F57" i="1"/>
  <c r="G57" i="1" s="1"/>
  <c r="F56" i="1"/>
  <c r="G56" i="1" s="1"/>
  <c r="F55" i="1"/>
  <c r="G55" i="1" s="1"/>
  <c r="F52" i="1"/>
  <c r="F51" i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F43" i="1"/>
  <c r="F42" i="1"/>
  <c r="F41" i="1"/>
  <c r="F40" i="1"/>
  <c r="G40" i="1" s="1"/>
  <c r="F14" i="1"/>
  <c r="G14" i="1" s="1"/>
  <c r="F15" i="1"/>
  <c r="G15" i="1" s="1"/>
  <c r="F16" i="1"/>
  <c r="G16" i="1" s="1"/>
  <c r="F17" i="1"/>
  <c r="F18" i="1"/>
  <c r="F19" i="1"/>
  <c r="G19" i="1" s="1"/>
  <c r="F20" i="1"/>
  <c r="F21" i="1"/>
  <c r="F22" i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F30" i="1"/>
  <c r="F31" i="1"/>
  <c r="F32" i="1"/>
  <c r="F33" i="1"/>
  <c r="F34" i="1"/>
  <c r="F35" i="1"/>
  <c r="F36" i="1"/>
  <c r="F37" i="1"/>
  <c r="F13" i="1"/>
  <c r="G13" i="1" s="1"/>
  <c r="I190" i="1"/>
  <c r="I177" i="1"/>
  <c r="I161" i="1"/>
  <c r="I160" i="1"/>
  <c r="I153" i="1"/>
  <c r="I137" i="1"/>
  <c r="I114" i="1"/>
  <c r="I105" i="1"/>
  <c r="I103" i="1"/>
  <c r="I86" i="1"/>
  <c r="H84" i="1"/>
  <c r="J84" i="1" s="1"/>
  <c r="H83" i="1"/>
  <c r="J83" i="1" s="1"/>
  <c r="K83" i="1" s="1"/>
  <c r="H82" i="1"/>
  <c r="I82" i="1" s="1"/>
  <c r="I77" i="1"/>
  <c r="I72" i="1"/>
  <c r="I69" i="1"/>
  <c r="I65" i="1"/>
  <c r="H63" i="1"/>
  <c r="J63" i="1" s="1"/>
  <c r="H62" i="1"/>
  <c r="I62" i="1" s="1"/>
  <c r="I46" i="1"/>
  <c r="I45" i="1"/>
  <c r="H14" i="1"/>
  <c r="J14" i="1" s="1"/>
  <c r="K14" i="1" s="1"/>
  <c r="H15" i="1"/>
  <c r="I15" i="1" s="1"/>
  <c r="H16" i="1"/>
  <c r="I16" i="1" s="1"/>
  <c r="H17" i="1"/>
  <c r="J17" i="1" s="1"/>
  <c r="H18" i="1"/>
  <c r="J18" i="1" s="1"/>
  <c r="H19" i="1"/>
  <c r="I19" i="1" s="1"/>
  <c r="H26" i="1"/>
  <c r="J26" i="1" s="1"/>
  <c r="K26" i="1" s="1"/>
  <c r="H28" i="1"/>
  <c r="I28" i="1" s="1"/>
  <c r="H13" i="1"/>
  <c r="J13" i="1" s="1"/>
  <c r="K13" i="1" s="1"/>
  <c r="O225" i="1"/>
  <c r="M225" i="1"/>
  <c r="O224" i="1"/>
  <c r="M224" i="1"/>
  <c r="O223" i="1"/>
  <c r="M223" i="1"/>
  <c r="O222" i="1"/>
  <c r="M222" i="1"/>
  <c r="O221" i="1"/>
  <c r="M221" i="1"/>
  <c r="O216" i="1"/>
  <c r="M216" i="1"/>
  <c r="O215" i="1"/>
  <c r="M215" i="1"/>
  <c r="O214" i="1"/>
  <c r="M214" i="1"/>
  <c r="O213" i="1"/>
  <c r="M213" i="1"/>
  <c r="O212" i="1"/>
  <c r="M212" i="1"/>
  <c r="O211" i="1"/>
  <c r="M211" i="1"/>
  <c r="O206" i="1"/>
  <c r="M206" i="1"/>
  <c r="O203" i="1"/>
  <c r="M203" i="1"/>
  <c r="O192" i="1"/>
  <c r="M192" i="1"/>
  <c r="O190" i="1"/>
  <c r="M190" i="1"/>
  <c r="O186" i="1"/>
  <c r="M186" i="1"/>
  <c r="O183" i="1"/>
  <c r="M183" i="1"/>
  <c r="O182" i="1"/>
  <c r="M182" i="1"/>
  <c r="O178" i="1"/>
  <c r="M178" i="1"/>
  <c r="O177" i="1"/>
  <c r="M177" i="1"/>
  <c r="O175" i="1"/>
  <c r="M175" i="1"/>
  <c r="O172" i="1"/>
  <c r="M172" i="1"/>
  <c r="O171" i="1"/>
  <c r="M171" i="1"/>
  <c r="O170" i="1"/>
  <c r="M170" i="1"/>
  <c r="O169" i="1"/>
  <c r="M169" i="1"/>
  <c r="O168" i="1"/>
  <c r="M168" i="1"/>
  <c r="O163" i="1"/>
  <c r="M163" i="1"/>
  <c r="O162" i="1"/>
  <c r="M162" i="1"/>
  <c r="O161" i="1"/>
  <c r="M161" i="1"/>
  <c r="O160" i="1"/>
  <c r="M160" i="1"/>
  <c r="O159" i="1"/>
  <c r="M159" i="1"/>
  <c r="O158" i="1"/>
  <c r="M158" i="1"/>
  <c r="O153" i="1"/>
  <c r="M153" i="1"/>
  <c r="O141" i="1"/>
  <c r="M141" i="1"/>
  <c r="O140" i="1"/>
  <c r="M140" i="1"/>
  <c r="O138" i="1"/>
  <c r="M138" i="1"/>
  <c r="O137" i="1"/>
  <c r="M137" i="1"/>
  <c r="O136" i="1"/>
  <c r="M136" i="1"/>
  <c r="O127" i="1"/>
  <c r="M127" i="1"/>
  <c r="O123" i="1"/>
  <c r="M123" i="1"/>
  <c r="O122" i="1"/>
  <c r="M122" i="1"/>
  <c r="O120" i="1"/>
  <c r="M120" i="1"/>
  <c r="O117" i="1"/>
  <c r="M117" i="1"/>
  <c r="O116" i="1"/>
  <c r="M116" i="1"/>
  <c r="O115" i="1"/>
  <c r="M115" i="1"/>
  <c r="O114" i="1"/>
  <c r="M114" i="1"/>
  <c r="O113" i="1"/>
  <c r="M113" i="1"/>
  <c r="O108" i="1"/>
  <c r="M108" i="1"/>
  <c r="O107" i="1"/>
  <c r="M107" i="1"/>
  <c r="O106" i="1"/>
  <c r="M106" i="1"/>
  <c r="O105" i="1"/>
  <c r="M105" i="1"/>
  <c r="O104" i="1"/>
  <c r="M104" i="1"/>
  <c r="O103" i="1"/>
  <c r="M103" i="1"/>
  <c r="O98" i="1"/>
  <c r="M98" i="1"/>
  <c r="O86" i="1"/>
  <c r="M86" i="1"/>
  <c r="O85" i="1"/>
  <c r="M85" i="1"/>
  <c r="O83" i="1"/>
  <c r="M83" i="1"/>
  <c r="O82" i="1"/>
  <c r="M82" i="1"/>
  <c r="O81" i="1"/>
  <c r="M81" i="1"/>
  <c r="O77" i="1"/>
  <c r="M77" i="1"/>
  <c r="O74" i="1"/>
  <c r="M74" i="1"/>
  <c r="O73" i="1"/>
  <c r="M73" i="1"/>
  <c r="O72" i="1"/>
  <c r="M72" i="1"/>
  <c r="O71" i="1"/>
  <c r="M71" i="1"/>
  <c r="O70" i="1"/>
  <c r="M70" i="1"/>
  <c r="O69" i="1"/>
  <c r="M69" i="1"/>
  <c r="O65" i="1"/>
  <c r="M65" i="1"/>
  <c r="O64" i="1"/>
  <c r="M64" i="1"/>
  <c r="O62" i="1"/>
  <c r="M62" i="1"/>
  <c r="O59" i="1"/>
  <c r="M59" i="1"/>
  <c r="O58" i="1"/>
  <c r="M58" i="1"/>
  <c r="O57" i="1"/>
  <c r="M57" i="1"/>
  <c r="O56" i="1"/>
  <c r="M56" i="1"/>
  <c r="O55" i="1"/>
  <c r="M55" i="1"/>
  <c r="O50" i="1"/>
  <c r="M50" i="1"/>
  <c r="O49" i="1"/>
  <c r="M49" i="1"/>
  <c r="O48" i="1"/>
  <c r="M48" i="1"/>
  <c r="O47" i="1"/>
  <c r="M47" i="1"/>
  <c r="O46" i="1"/>
  <c r="M46" i="1"/>
  <c r="O45" i="1"/>
  <c r="M45" i="1"/>
  <c r="O40" i="1"/>
  <c r="M40" i="1"/>
  <c r="O28" i="1"/>
  <c r="M28" i="1"/>
  <c r="O27" i="1"/>
  <c r="M27" i="1"/>
  <c r="O26" i="1"/>
  <c r="M26" i="1"/>
  <c r="O25" i="1"/>
  <c r="M25" i="1"/>
  <c r="O24" i="1"/>
  <c r="M24" i="1"/>
  <c r="O23" i="1"/>
  <c r="M23" i="1"/>
  <c r="O19" i="1"/>
  <c r="M19" i="1"/>
  <c r="O16" i="1"/>
  <c r="M16" i="1"/>
  <c r="O15" i="1"/>
  <c r="M15" i="1"/>
  <c r="O14" i="1"/>
  <c r="M14" i="1"/>
  <c r="O13" i="1"/>
  <c r="M13" i="1"/>
  <c r="S225" i="1"/>
  <c r="S224" i="1"/>
  <c r="S223" i="1"/>
  <c r="S222" i="1"/>
  <c r="S221" i="1"/>
  <c r="S216" i="1"/>
  <c r="S215" i="1"/>
  <c r="S214" i="1"/>
  <c r="S213" i="1"/>
  <c r="S212" i="1"/>
  <c r="S211" i="1"/>
  <c r="S206" i="1"/>
  <c r="S203" i="1"/>
  <c r="S192" i="1"/>
  <c r="S190" i="1"/>
  <c r="S186" i="1"/>
  <c r="S183" i="1"/>
  <c r="S182" i="1"/>
  <c r="S178" i="1"/>
  <c r="S177" i="1"/>
  <c r="S175" i="1"/>
  <c r="S172" i="1"/>
  <c r="S171" i="1"/>
  <c r="S170" i="1"/>
  <c r="S169" i="1"/>
  <c r="S168" i="1"/>
  <c r="S163" i="1"/>
  <c r="S162" i="1"/>
  <c r="S161" i="1"/>
  <c r="S160" i="1"/>
  <c r="S159" i="1"/>
  <c r="S158" i="1"/>
  <c r="S153" i="1"/>
  <c r="S141" i="1"/>
  <c r="S140" i="1"/>
  <c r="S138" i="1"/>
  <c r="S137" i="1"/>
  <c r="S136" i="1"/>
  <c r="S127" i="1"/>
  <c r="S123" i="1"/>
  <c r="S122" i="1"/>
  <c r="S120" i="1"/>
  <c r="S117" i="1"/>
  <c r="S116" i="1"/>
  <c r="S115" i="1"/>
  <c r="S114" i="1"/>
  <c r="S113" i="1"/>
  <c r="S108" i="1"/>
  <c r="S107" i="1"/>
  <c r="S106" i="1"/>
  <c r="S105" i="1"/>
  <c r="S104" i="1"/>
  <c r="S103" i="1"/>
  <c r="S98" i="1"/>
  <c r="S86" i="1"/>
  <c r="S85" i="1"/>
  <c r="S83" i="1"/>
  <c r="S82" i="1"/>
  <c r="S81" i="1"/>
  <c r="S77" i="1"/>
  <c r="S74" i="1"/>
  <c r="S73" i="1"/>
  <c r="S72" i="1"/>
  <c r="S71" i="1"/>
  <c r="S70" i="1"/>
  <c r="S69" i="1"/>
  <c r="S65" i="1"/>
  <c r="S64" i="1"/>
  <c r="S62" i="1"/>
  <c r="S59" i="1"/>
  <c r="S58" i="1"/>
  <c r="S57" i="1"/>
  <c r="S56" i="1"/>
  <c r="S55" i="1"/>
  <c r="S50" i="1"/>
  <c r="S49" i="1"/>
  <c r="S48" i="1"/>
  <c r="S47" i="1"/>
  <c r="S46" i="1"/>
  <c r="S45" i="1"/>
  <c r="S40" i="1"/>
  <c r="S28" i="1"/>
  <c r="S27" i="1"/>
  <c r="S26" i="1"/>
  <c r="S25" i="1"/>
  <c r="S24" i="1"/>
  <c r="S23" i="1"/>
  <c r="S19" i="1"/>
  <c r="S16" i="1"/>
  <c r="S15" i="1"/>
  <c r="S14" i="1"/>
  <c r="S13" i="1"/>
  <c r="G225" i="1"/>
  <c r="G175" i="1"/>
  <c r="G163" i="1"/>
  <c r="C235" i="1"/>
  <c r="A235" i="1"/>
  <c r="W225" i="1"/>
  <c r="W224" i="1"/>
  <c r="W223" i="1"/>
  <c r="W222" i="1"/>
  <c r="W221" i="1"/>
  <c r="W216" i="1"/>
  <c r="W215" i="1"/>
  <c r="W214" i="1"/>
  <c r="W213" i="1"/>
  <c r="W212" i="1"/>
  <c r="W211" i="1"/>
  <c r="W206" i="1"/>
  <c r="W203" i="1"/>
  <c r="W192" i="1"/>
  <c r="W190" i="1"/>
  <c r="W186" i="1"/>
  <c r="W183" i="1"/>
  <c r="W182" i="1"/>
  <c r="W178" i="1"/>
  <c r="W177" i="1"/>
  <c r="W175" i="1"/>
  <c r="W172" i="1"/>
  <c r="W171" i="1"/>
  <c r="W170" i="1"/>
  <c r="W169" i="1"/>
  <c r="W168" i="1"/>
  <c r="W163" i="1"/>
  <c r="W162" i="1"/>
  <c r="W161" i="1"/>
  <c r="W160" i="1"/>
  <c r="W159" i="1"/>
  <c r="W158" i="1"/>
  <c r="W153" i="1"/>
  <c r="W141" i="1"/>
  <c r="W140" i="1"/>
  <c r="W138" i="1"/>
  <c r="W137" i="1"/>
  <c r="W136" i="1"/>
  <c r="W127" i="1"/>
  <c r="W123" i="1"/>
  <c r="W122" i="1"/>
  <c r="W120" i="1"/>
  <c r="W117" i="1"/>
  <c r="W116" i="1"/>
  <c r="W115" i="1"/>
  <c r="W114" i="1"/>
  <c r="W113" i="1"/>
  <c r="W108" i="1"/>
  <c r="W107" i="1"/>
  <c r="W106" i="1"/>
  <c r="W105" i="1"/>
  <c r="W104" i="1"/>
  <c r="W103" i="1"/>
  <c r="W98" i="1"/>
  <c r="W86" i="1"/>
  <c r="W85" i="1"/>
  <c r="W83" i="1"/>
  <c r="W82" i="1"/>
  <c r="W81" i="1"/>
  <c r="W77" i="1"/>
  <c r="W74" i="1"/>
  <c r="W73" i="1"/>
  <c r="W72" i="1"/>
  <c r="W71" i="1"/>
  <c r="W70" i="1"/>
  <c r="W69" i="1"/>
  <c r="W65" i="1"/>
  <c r="W64" i="1"/>
  <c r="W62" i="1"/>
  <c r="W59" i="1"/>
  <c r="W58" i="1"/>
  <c r="W57" i="1"/>
  <c r="W56" i="1"/>
  <c r="W55" i="1"/>
  <c r="W50" i="1"/>
  <c r="W49" i="1"/>
  <c r="W48" i="1"/>
  <c r="W47" i="1"/>
  <c r="W46" i="1"/>
  <c r="W45" i="1"/>
  <c r="W40" i="1"/>
  <c r="W28" i="1"/>
  <c r="W27" i="1"/>
  <c r="W26" i="1"/>
  <c r="W25" i="1"/>
  <c r="W24" i="1"/>
  <c r="W23" i="1"/>
  <c r="W19" i="1"/>
  <c r="W16" i="1"/>
  <c r="W15" i="1"/>
  <c r="W14" i="1"/>
  <c r="W13" i="1"/>
  <c r="U225" i="1"/>
  <c r="U224" i="1"/>
  <c r="U223" i="1"/>
  <c r="U222" i="1"/>
  <c r="U221" i="1"/>
  <c r="U216" i="1"/>
  <c r="U215" i="1"/>
  <c r="U214" i="1"/>
  <c r="U213" i="1"/>
  <c r="U212" i="1"/>
  <c r="U211" i="1"/>
  <c r="U206" i="1"/>
  <c r="U203" i="1"/>
  <c r="U192" i="1"/>
  <c r="U190" i="1"/>
  <c r="U186" i="1"/>
  <c r="U183" i="1"/>
  <c r="U182" i="1"/>
  <c r="U178" i="1"/>
  <c r="U177" i="1"/>
  <c r="U175" i="1"/>
  <c r="U172" i="1"/>
  <c r="U171" i="1"/>
  <c r="U170" i="1"/>
  <c r="U169" i="1"/>
  <c r="U168" i="1"/>
  <c r="U163" i="1"/>
  <c r="U162" i="1"/>
  <c r="U161" i="1"/>
  <c r="U160" i="1"/>
  <c r="U159" i="1"/>
  <c r="U158" i="1"/>
  <c r="U153" i="1"/>
  <c r="U141" i="1"/>
  <c r="U140" i="1"/>
  <c r="U138" i="1"/>
  <c r="U137" i="1"/>
  <c r="U136" i="1"/>
  <c r="U127" i="1"/>
  <c r="U123" i="1"/>
  <c r="U122" i="1"/>
  <c r="U120" i="1"/>
  <c r="U117" i="1"/>
  <c r="U116" i="1"/>
  <c r="U115" i="1"/>
  <c r="U114" i="1"/>
  <c r="U113" i="1"/>
  <c r="U108" i="1"/>
  <c r="U107" i="1"/>
  <c r="U106" i="1"/>
  <c r="U105" i="1"/>
  <c r="U104" i="1"/>
  <c r="U103" i="1"/>
  <c r="U98" i="1"/>
  <c r="U86" i="1"/>
  <c r="U85" i="1"/>
  <c r="U83" i="1"/>
  <c r="U82" i="1"/>
  <c r="U81" i="1"/>
  <c r="U77" i="1"/>
  <c r="U74" i="1"/>
  <c r="U73" i="1"/>
  <c r="U72" i="1"/>
  <c r="U71" i="1"/>
  <c r="U70" i="1"/>
  <c r="U69" i="1"/>
  <c r="U65" i="1"/>
  <c r="U64" i="1"/>
  <c r="U62" i="1"/>
  <c r="U59" i="1"/>
  <c r="U58" i="1"/>
  <c r="U57" i="1"/>
  <c r="U56" i="1"/>
  <c r="U55" i="1"/>
  <c r="U50" i="1"/>
  <c r="U49" i="1"/>
  <c r="U48" i="1"/>
  <c r="U47" i="1"/>
  <c r="U46" i="1"/>
  <c r="U45" i="1"/>
  <c r="U40" i="1"/>
  <c r="U28" i="1"/>
  <c r="U27" i="1"/>
  <c r="U26" i="1"/>
  <c r="U25" i="1"/>
  <c r="U24" i="1"/>
  <c r="U23" i="1"/>
  <c r="U19" i="1"/>
  <c r="U16" i="1"/>
  <c r="U15" i="1"/>
  <c r="U14" i="1"/>
  <c r="U13" i="1"/>
  <c r="Q225" i="1"/>
  <c r="Q224" i="1"/>
  <c r="Q223" i="1"/>
  <c r="Q222" i="1"/>
  <c r="Q221" i="1"/>
  <c r="Q216" i="1"/>
  <c r="Q215" i="1"/>
  <c r="Q214" i="1"/>
  <c r="Q213" i="1"/>
  <c r="Q212" i="1"/>
  <c r="Q211" i="1"/>
  <c r="Q206" i="1"/>
  <c r="Q203" i="1"/>
  <c r="Q192" i="1"/>
  <c r="Q190" i="1"/>
  <c r="Q186" i="1"/>
  <c r="Q183" i="1"/>
  <c r="Q182" i="1"/>
  <c r="Q178" i="1"/>
  <c r="Q177" i="1"/>
  <c r="Q175" i="1"/>
  <c r="Q172" i="1"/>
  <c r="Q171" i="1"/>
  <c r="Q170" i="1"/>
  <c r="Q169" i="1"/>
  <c r="Q168" i="1"/>
  <c r="Q163" i="1"/>
  <c r="Q162" i="1"/>
  <c r="Q161" i="1"/>
  <c r="Q160" i="1"/>
  <c r="Q159" i="1"/>
  <c r="Q158" i="1"/>
  <c r="Q153" i="1"/>
  <c r="Q141" i="1"/>
  <c r="Q140" i="1"/>
  <c r="Q138" i="1"/>
  <c r="Q137" i="1"/>
  <c r="Q136" i="1"/>
  <c r="Q127" i="1"/>
  <c r="Q123" i="1"/>
  <c r="Q122" i="1"/>
  <c r="Q120" i="1"/>
  <c r="Q117" i="1"/>
  <c r="Q116" i="1"/>
  <c r="Q115" i="1"/>
  <c r="Q114" i="1"/>
  <c r="Q113" i="1"/>
  <c r="Q108" i="1"/>
  <c r="Q107" i="1"/>
  <c r="Q106" i="1"/>
  <c r="Q105" i="1"/>
  <c r="Q104" i="1"/>
  <c r="Q103" i="1"/>
  <c r="Q98" i="1"/>
  <c r="Q86" i="1"/>
  <c r="Q85" i="1"/>
  <c r="Q83" i="1"/>
  <c r="Q82" i="1"/>
  <c r="Q81" i="1"/>
  <c r="Q77" i="1"/>
  <c r="Q74" i="1"/>
  <c r="Q73" i="1"/>
  <c r="Q72" i="1"/>
  <c r="Q71" i="1"/>
  <c r="Q70" i="1"/>
  <c r="Q69" i="1"/>
  <c r="Q65" i="1"/>
  <c r="Q64" i="1"/>
  <c r="Q62" i="1"/>
  <c r="Q59" i="1"/>
  <c r="Q58" i="1"/>
  <c r="Q57" i="1"/>
  <c r="Q56" i="1"/>
  <c r="Q55" i="1"/>
  <c r="Q50" i="1"/>
  <c r="Q49" i="1"/>
  <c r="Q48" i="1"/>
  <c r="Q47" i="1"/>
  <c r="Q46" i="1"/>
  <c r="Q45" i="1"/>
  <c r="Q40" i="1"/>
  <c r="Q28" i="1"/>
  <c r="Q27" i="1"/>
  <c r="Q26" i="1"/>
  <c r="Q25" i="1"/>
  <c r="Q24" i="1"/>
  <c r="Q23" i="1"/>
  <c r="Q19" i="1"/>
  <c r="Q16" i="1"/>
  <c r="Q15" i="1"/>
  <c r="Q14" i="1"/>
  <c r="Q13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4" i="1"/>
  <c r="C233" i="1"/>
  <c r="C232" i="1"/>
  <c r="C231" i="1"/>
  <c r="C230" i="1"/>
  <c r="C229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4" i="1"/>
  <c r="A233" i="1"/>
  <c r="A232" i="1"/>
  <c r="A231" i="1"/>
  <c r="A230" i="1"/>
  <c r="A229" i="1"/>
  <c r="I47" i="1"/>
  <c r="I48" i="1"/>
  <c r="I49" i="1"/>
  <c r="I50" i="1"/>
  <c r="I55" i="1"/>
  <c r="I56" i="1"/>
  <c r="I57" i="1"/>
  <c r="I58" i="1"/>
  <c r="I59" i="1"/>
  <c r="I64" i="1"/>
  <c r="I70" i="1"/>
  <c r="I71" i="1"/>
  <c r="I73" i="1"/>
  <c r="I74" i="1"/>
  <c r="I81" i="1"/>
  <c r="I85" i="1"/>
  <c r="I98" i="1"/>
  <c r="I104" i="1"/>
  <c r="I106" i="1"/>
  <c r="I107" i="1"/>
  <c r="I108" i="1"/>
  <c r="I113" i="1"/>
  <c r="I115" i="1"/>
  <c r="I116" i="1"/>
  <c r="I117" i="1"/>
  <c r="I120" i="1"/>
  <c r="I122" i="1"/>
  <c r="I123" i="1"/>
  <c r="I136" i="1"/>
  <c r="I138" i="1"/>
  <c r="I140" i="1"/>
  <c r="I141" i="1"/>
  <c r="I158" i="1"/>
  <c r="I159" i="1"/>
  <c r="I162" i="1"/>
  <c r="I163" i="1"/>
  <c r="I168" i="1"/>
  <c r="I169" i="1"/>
  <c r="I170" i="1"/>
  <c r="I171" i="1"/>
  <c r="I172" i="1"/>
  <c r="I175" i="1"/>
  <c r="I178" i="1"/>
  <c r="I182" i="1"/>
  <c r="I183" i="1"/>
  <c r="I186" i="1"/>
  <c r="I192" i="1"/>
  <c r="I203" i="1"/>
  <c r="I206" i="1"/>
  <c r="I211" i="1"/>
  <c r="I212" i="1"/>
  <c r="I213" i="1"/>
  <c r="I214" i="1"/>
  <c r="I215" i="1"/>
  <c r="I216" i="1"/>
  <c r="I221" i="1"/>
  <c r="I222" i="1"/>
  <c r="I223" i="1"/>
  <c r="I224" i="1"/>
  <c r="I225" i="1"/>
  <c r="I40" i="1"/>
  <c r="I23" i="1"/>
  <c r="I24" i="1"/>
  <c r="I25" i="1"/>
  <c r="I27" i="1"/>
  <c r="I14" i="1" l="1"/>
  <c r="I13" i="1"/>
  <c r="J16" i="1"/>
  <c r="K16" i="1" s="1"/>
  <c r="J15" i="1"/>
  <c r="K15" i="1" s="1"/>
  <c r="J28" i="1"/>
  <c r="K28" i="1" s="1"/>
  <c r="I26" i="1"/>
  <c r="J19" i="1"/>
  <c r="K19" i="1" s="1"/>
  <c r="J62" i="1"/>
  <c r="K62" i="1" s="1"/>
  <c r="K66" i="1" s="1"/>
  <c r="K232" i="1" s="1"/>
  <c r="J82" i="1"/>
  <c r="K82" i="1" s="1"/>
  <c r="K96" i="1" s="1"/>
  <c r="K234" i="1" s="1"/>
  <c r="I83" i="1"/>
  <c r="K173" i="1"/>
  <c r="K241" i="1" s="1"/>
  <c r="K166" i="1"/>
  <c r="K240" i="1" s="1"/>
  <c r="K118" i="1"/>
  <c r="K236" i="1" s="1"/>
  <c r="K60" i="1"/>
  <c r="K231" i="1" s="1"/>
  <c r="K111" i="1"/>
  <c r="K235" i="1" s="1"/>
  <c r="K151" i="1"/>
  <c r="K239" i="1" s="1"/>
  <c r="K53" i="1"/>
  <c r="K230" i="1" s="1"/>
  <c r="K179" i="1"/>
  <c r="K242" i="1" s="1"/>
  <c r="K226" i="1"/>
  <c r="K246" i="1" s="1"/>
  <c r="K219" i="1"/>
  <c r="K245" i="1" s="1"/>
  <c r="K124" i="1"/>
  <c r="K237" i="1" s="1"/>
  <c r="K204" i="1"/>
  <c r="K244" i="1" s="1"/>
  <c r="S66" i="1"/>
  <c r="S232" i="1" s="1"/>
  <c r="M124" i="1"/>
  <c r="M237" i="1" s="1"/>
  <c r="O38" i="1"/>
  <c r="O229" i="1" s="1"/>
  <c r="M204" i="1"/>
  <c r="M244" i="1" s="1"/>
  <c r="S179" i="1"/>
  <c r="S242" i="1" s="1"/>
  <c r="O124" i="1"/>
  <c r="O237" i="1" s="1"/>
  <c r="O166" i="1"/>
  <c r="O240" i="1" s="1"/>
  <c r="O179" i="1"/>
  <c r="O242" i="1" s="1"/>
  <c r="O219" i="1"/>
  <c r="O245" i="1" s="1"/>
  <c r="O204" i="1"/>
  <c r="O244" i="1" s="1"/>
  <c r="O226" i="1"/>
  <c r="O246" i="1" s="1"/>
  <c r="S219" i="1"/>
  <c r="S245" i="1" s="1"/>
  <c r="M60" i="1"/>
  <c r="M231" i="1" s="1"/>
  <c r="M96" i="1"/>
  <c r="M234" i="1" s="1"/>
  <c r="M111" i="1"/>
  <c r="M235" i="1" s="1"/>
  <c r="M118" i="1"/>
  <c r="M236" i="1" s="1"/>
  <c r="M151" i="1"/>
  <c r="M239" i="1" s="1"/>
  <c r="S60" i="1"/>
  <c r="S231" i="1" s="1"/>
  <c r="O60" i="1"/>
  <c r="O231" i="1" s="1"/>
  <c r="O96" i="1"/>
  <c r="O234" i="1" s="1"/>
  <c r="O118" i="1"/>
  <c r="O236" i="1" s="1"/>
  <c r="O151" i="1"/>
  <c r="O239" i="1" s="1"/>
  <c r="M53" i="1"/>
  <c r="M230" i="1" s="1"/>
  <c r="M66" i="1"/>
  <c r="M232" i="1" s="1"/>
  <c r="M173" i="1"/>
  <c r="M241" i="1" s="1"/>
  <c r="O53" i="1"/>
  <c r="O230" i="1" s="1"/>
  <c r="O66" i="1"/>
  <c r="O232" i="1" s="1"/>
  <c r="O111" i="1"/>
  <c r="O235" i="1" s="1"/>
  <c r="O173" i="1"/>
  <c r="O241" i="1" s="1"/>
  <c r="M38" i="1"/>
  <c r="M229" i="1" s="1"/>
  <c r="M166" i="1"/>
  <c r="M240" i="1" s="1"/>
  <c r="M179" i="1"/>
  <c r="M242" i="1" s="1"/>
  <c r="M219" i="1"/>
  <c r="M245" i="1" s="1"/>
  <c r="M226" i="1"/>
  <c r="M246" i="1" s="1"/>
  <c r="G173" i="1"/>
  <c r="G241" i="1" s="1"/>
  <c r="S118" i="1"/>
  <c r="S236" i="1" s="1"/>
  <c r="S151" i="1"/>
  <c r="S239" i="1" s="1"/>
  <c r="S111" i="1"/>
  <c r="S235" i="1" s="1"/>
  <c r="S166" i="1"/>
  <c r="S240" i="1" s="1"/>
  <c r="S226" i="1"/>
  <c r="S246" i="1" s="1"/>
  <c r="S38" i="1"/>
  <c r="S229" i="1" s="1"/>
  <c r="S96" i="1"/>
  <c r="S234" i="1" s="1"/>
  <c r="S124" i="1"/>
  <c r="S237" i="1" s="1"/>
  <c r="S53" i="1"/>
  <c r="S230" i="1" s="1"/>
  <c r="S173" i="1"/>
  <c r="S241" i="1" s="1"/>
  <c r="S204" i="1"/>
  <c r="S244" i="1" s="1"/>
  <c r="G60" i="1"/>
  <c r="G231" i="1" s="1"/>
  <c r="G66" i="1"/>
  <c r="G232" i="1" s="1"/>
  <c r="G53" i="1"/>
  <c r="G230" i="1" s="1"/>
  <c r="G179" i="1"/>
  <c r="G242" i="1" s="1"/>
  <c r="G124" i="1"/>
  <c r="G237" i="1" s="1"/>
  <c r="G118" i="1"/>
  <c r="G236" i="1" s="1"/>
  <c r="G226" i="1"/>
  <c r="G246" i="1" s="1"/>
  <c r="G219" i="1"/>
  <c r="G245" i="1" s="1"/>
  <c r="G204" i="1"/>
  <c r="G244" i="1" s="1"/>
  <c r="G166" i="1"/>
  <c r="G240" i="1" s="1"/>
  <c r="G151" i="1"/>
  <c r="G239" i="1" s="1"/>
  <c r="G111" i="1"/>
  <c r="G235" i="1" s="1"/>
  <c r="G96" i="1"/>
  <c r="G234" i="1" s="1"/>
  <c r="G38" i="1"/>
  <c r="G229" i="1" s="1"/>
  <c r="W124" i="1"/>
  <c r="W237" i="1" s="1"/>
  <c r="Q179" i="1"/>
  <c r="Q242" i="1" s="1"/>
  <c r="W111" i="1"/>
  <c r="W235" i="1" s="1"/>
  <c r="U66" i="1"/>
  <c r="U232" i="1" s="1"/>
  <c r="U118" i="1"/>
  <c r="U236" i="1" s="1"/>
  <c r="W219" i="1"/>
  <c r="W245" i="1" s="1"/>
  <c r="W166" i="1"/>
  <c r="W240" i="1" s="1"/>
  <c r="U226" i="1"/>
  <c r="U246" i="1" s="1"/>
  <c r="Q204" i="1"/>
  <c r="Q244" i="1" s="1"/>
  <c r="U38" i="1"/>
  <c r="U229" i="1" s="1"/>
  <c r="W60" i="1"/>
  <c r="W231" i="1" s="1"/>
  <c r="Q151" i="1"/>
  <c r="Q239" i="1" s="1"/>
  <c r="W226" i="1"/>
  <c r="W246" i="1" s="1"/>
  <c r="U179" i="1"/>
  <c r="U242" i="1" s="1"/>
  <c r="W66" i="1"/>
  <c r="W232" i="1" s="1"/>
  <c r="W118" i="1"/>
  <c r="W236" i="1" s="1"/>
  <c r="Q219" i="1"/>
  <c r="Q245" i="1" s="1"/>
  <c r="U124" i="1"/>
  <c r="U237" i="1" s="1"/>
  <c r="W96" i="1"/>
  <c r="W234" i="1" s="1"/>
  <c r="W38" i="1"/>
  <c r="W229" i="1" s="1"/>
  <c r="Q166" i="1"/>
  <c r="Q240" i="1" s="1"/>
  <c r="Q111" i="1"/>
  <c r="Q235" i="1" s="1"/>
  <c r="Q60" i="1"/>
  <c r="Q231" i="1" s="1"/>
  <c r="U219" i="1"/>
  <c r="U245" i="1" s="1"/>
  <c r="U204" i="1"/>
  <c r="U244" i="1" s="1"/>
  <c r="U151" i="1"/>
  <c r="U239" i="1" s="1"/>
  <c r="U53" i="1"/>
  <c r="U230" i="1" s="1"/>
  <c r="Q38" i="1"/>
  <c r="Q229" i="1" s="1"/>
  <c r="Q226" i="1"/>
  <c r="Q246" i="1" s="1"/>
  <c r="Q66" i="1"/>
  <c r="Q232" i="1" s="1"/>
  <c r="Q118" i="1"/>
  <c r="Q236" i="1" s="1"/>
  <c r="Q96" i="1"/>
  <c r="Q234" i="1" s="1"/>
  <c r="Q53" i="1"/>
  <c r="Q230" i="1" s="1"/>
  <c r="U96" i="1"/>
  <c r="U234" i="1" s="1"/>
  <c r="W173" i="1"/>
  <c r="W241" i="1" s="1"/>
  <c r="W179" i="1"/>
  <c r="W242" i="1" s="1"/>
  <c r="U173" i="1"/>
  <c r="U241" i="1" s="1"/>
  <c r="U111" i="1"/>
  <c r="U235" i="1" s="1"/>
  <c r="U166" i="1"/>
  <c r="U240" i="1" s="1"/>
  <c r="W204" i="1"/>
  <c r="W244" i="1" s="1"/>
  <c r="Q173" i="1"/>
  <c r="Q241" i="1" s="1"/>
  <c r="U60" i="1"/>
  <c r="U231" i="1" s="1"/>
  <c r="W53" i="1"/>
  <c r="W230" i="1" s="1"/>
  <c r="Q124" i="1"/>
  <c r="Q237" i="1" s="1"/>
  <c r="W151" i="1"/>
  <c r="W239" i="1" s="1"/>
  <c r="I60" i="1"/>
  <c r="I231" i="1" s="1"/>
  <c r="I66" i="1"/>
  <c r="I232" i="1" s="1"/>
  <c r="I219" i="1"/>
  <c r="I245" i="1" s="1"/>
  <c r="I204" i="1"/>
  <c r="I244" i="1" s="1"/>
  <c r="I166" i="1"/>
  <c r="I240" i="1" s="1"/>
  <c r="I151" i="1"/>
  <c r="I239" i="1" s="1"/>
  <c r="I111" i="1"/>
  <c r="I235" i="1" s="1"/>
  <c r="I96" i="1"/>
  <c r="I234" i="1" s="1"/>
  <c r="I226" i="1"/>
  <c r="I246" i="1" s="1"/>
  <c r="I173" i="1"/>
  <c r="I241" i="1" s="1"/>
  <c r="I118" i="1"/>
  <c r="I236" i="1" s="1"/>
  <c r="I53" i="1"/>
  <c r="I230" i="1" s="1"/>
  <c r="I179" i="1"/>
  <c r="I242" i="1" s="1"/>
  <c r="I124" i="1"/>
  <c r="I237" i="1" s="1"/>
  <c r="K38" i="1" l="1"/>
  <c r="K229" i="1" s="1"/>
  <c r="J233" i="1" s="1"/>
  <c r="I38" i="1"/>
  <c r="I229" i="1" s="1"/>
  <c r="H233" i="1" s="1"/>
  <c r="J243" i="1"/>
  <c r="J238" i="1"/>
  <c r="J247" i="1"/>
  <c r="K252" i="1"/>
  <c r="R238" i="1"/>
  <c r="N233" i="1"/>
  <c r="L247" i="1"/>
  <c r="O252" i="1"/>
  <c r="O253" i="1" s="1"/>
  <c r="O254" i="1" s="1"/>
  <c r="N247" i="1"/>
  <c r="L233" i="1"/>
  <c r="F233" i="1"/>
  <c r="R233" i="1"/>
  <c r="L243" i="1"/>
  <c r="R243" i="1"/>
  <c r="F243" i="1"/>
  <c r="M252" i="1"/>
  <c r="N243" i="1"/>
  <c r="N238" i="1"/>
  <c r="L238" i="1"/>
  <c r="F247" i="1"/>
  <c r="S252" i="1"/>
  <c r="S253" i="1" s="1"/>
  <c r="S254" i="1" s="1"/>
  <c r="R247" i="1"/>
  <c r="F238" i="1"/>
  <c r="T233" i="1"/>
  <c r="H243" i="1"/>
  <c r="H238" i="1"/>
  <c r="G252" i="1"/>
  <c r="G253" i="1" s="1"/>
  <c r="G254" i="1" s="1"/>
  <c r="V247" i="1"/>
  <c r="H247" i="1"/>
  <c r="P233" i="1"/>
  <c r="T243" i="1"/>
  <c r="V243" i="1"/>
  <c r="P238" i="1"/>
  <c r="P247" i="1"/>
  <c r="T247" i="1"/>
  <c r="V238" i="1"/>
  <c r="V233" i="1"/>
  <c r="T238" i="1"/>
  <c r="P243" i="1"/>
  <c r="W252" i="1"/>
  <c r="W253" i="1" s="1"/>
  <c r="W254" i="1" s="1"/>
  <c r="U252" i="1"/>
  <c r="U253" i="1" s="1"/>
  <c r="U254" i="1" s="1"/>
  <c r="Q252" i="1"/>
  <c r="Q253" i="1" s="1"/>
  <c r="Q254" i="1" s="1"/>
  <c r="I253" i="1" l="1"/>
  <c r="I254" i="1" s="1"/>
  <c r="K254" i="1"/>
  <c r="M253" i="1"/>
  <c r="M25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tc={F8EFC6CC-F4DF-4582-BF02-2A6D0030A626}</author>
    <author>tc={37BB3404-7A11-475B-849B-D3BC13D9898E}</author>
    <author>tc={85143BF8-4F4A-4762-BA14-30BA5AD61A0B}</author>
    <author>tc={ACC74C86-15DA-4CF8-AD7D-3EEB9251AA2D}</author>
  </authors>
  <commentList>
    <comment ref="R79" authorId="0" shapeId="0" xr:uid="{F8EFC6CC-F4DF-4582-BF02-2A6D0030A62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148,00 €/m vorher. Pos.</t>
      </text>
    </comment>
    <comment ref="R182" authorId="1" shapeId="0" xr:uid="{37BB3404-7A11-475B-849B-D3BC13D9898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EP fehlt, aus vergleichb. Pos. übernommen</t>
      </text>
    </comment>
    <comment ref="R188" authorId="2" shapeId="0" xr:uid="{85143BF8-4F4A-4762-BA14-30BA5AD61A0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148,00 €/m vorher. Pos.</t>
      </text>
    </comment>
    <comment ref="R190" authorId="3" shapeId="0" xr:uid="{ACC74C86-15DA-4CF8-AD7D-3EEB9251AA2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420,00 €/ Stck aus vorher. Pos.</t>
      </text>
    </comment>
  </commentList>
</comments>
</file>

<file path=xl/sharedStrings.xml><?xml version="1.0" encoding="utf-8"?>
<sst xmlns="http://schemas.openxmlformats.org/spreadsheetml/2006/main" count="1617" uniqueCount="308">
  <si>
    <t>Bauvorhaben:</t>
  </si>
  <si>
    <t>Bieter:</t>
  </si>
  <si>
    <t>Tel:</t>
  </si>
  <si>
    <t>Gewerk:</t>
  </si>
  <si>
    <t>Angebot v.:</t>
  </si>
  <si>
    <t>CR Auskunft:</t>
  </si>
  <si>
    <t>vom:</t>
  </si>
  <si>
    <t>Index</t>
  </si>
  <si>
    <t>AK</t>
  </si>
  <si>
    <t>Umsatz</t>
  </si>
  <si>
    <t>Pos.</t>
  </si>
  <si>
    <t>Kurz-Info</t>
  </si>
  <si>
    <t>Beschreibung</t>
  </si>
  <si>
    <t>Menge</t>
  </si>
  <si>
    <t>EH</t>
  </si>
  <si>
    <t>EP</t>
  </si>
  <si>
    <t>GP</t>
  </si>
  <si>
    <t>20006551 Offenbach LEIQ - Aubau BT B</t>
  </si>
  <si>
    <t>Trockenbau</t>
  </si>
  <si>
    <t>01.</t>
  </si>
  <si>
    <t>01.01.01.</t>
  </si>
  <si>
    <t xml:space="preserve">01.01.01.0010. </t>
  </si>
  <si>
    <t xml:space="preserve">01.01.01.0020. </t>
  </si>
  <si>
    <t xml:space="preserve">01.01.01.0030. </t>
  </si>
  <si>
    <t xml:space="preserve">01.01.01.0040. </t>
  </si>
  <si>
    <t xml:space="preserve">01.01.01.0100. </t>
  </si>
  <si>
    <t xml:space="preserve">01.01.01.0110. </t>
  </si>
  <si>
    <t xml:space="preserve">01.01.01.0130. </t>
  </si>
  <si>
    <t xml:space="preserve">01.01.01.0140. </t>
  </si>
  <si>
    <t xml:space="preserve">01.01.01.0150. </t>
  </si>
  <si>
    <t xml:space="preserve">01.01.01.0160. </t>
  </si>
  <si>
    <t xml:space="preserve">01.01.01.0180. </t>
  </si>
  <si>
    <t xml:space="preserve">01.01.01.0190. </t>
  </si>
  <si>
    <t xml:space="preserve">01.01.01.0200. </t>
  </si>
  <si>
    <t xml:space="preserve">01.01.01.0210. </t>
  </si>
  <si>
    <t xml:space="preserve">01.01.01.0215. </t>
  </si>
  <si>
    <t xml:space="preserve">01.01.01.0220. </t>
  </si>
  <si>
    <t xml:space="preserve">01.01.01.0250. </t>
  </si>
  <si>
    <t xml:space="preserve">01.01.01.0260. </t>
  </si>
  <si>
    <t xml:space="preserve">01.01.01.0270. </t>
  </si>
  <si>
    <t xml:space="preserve">01.01.01.0280. </t>
  </si>
  <si>
    <t xml:space="preserve">01.01.01.0290. </t>
  </si>
  <si>
    <t xml:space="preserve">01.01.01.0300. </t>
  </si>
  <si>
    <t xml:space="preserve">01.01.01.0310. </t>
  </si>
  <si>
    <t xml:space="preserve">01.01.01.0320. </t>
  </si>
  <si>
    <t xml:space="preserve">01.01.01.0330. </t>
  </si>
  <si>
    <t>01.02.01.</t>
  </si>
  <si>
    <t xml:space="preserve">01.02.01.0010. </t>
  </si>
  <si>
    <t xml:space="preserve">01.02.01.0020. </t>
  </si>
  <si>
    <t xml:space="preserve">01.02.01.0030. </t>
  </si>
  <si>
    <t xml:space="preserve">01.02.01.0040. </t>
  </si>
  <si>
    <t xml:space="preserve">01.02.01.0050. </t>
  </si>
  <si>
    <t xml:space="preserve">01.02.01.0060. </t>
  </si>
  <si>
    <t xml:space="preserve">01.02.01.0070. </t>
  </si>
  <si>
    <t xml:space="preserve">01.02.01.0080. </t>
  </si>
  <si>
    <t xml:space="preserve">01.02.01.0090. </t>
  </si>
  <si>
    <t xml:space="preserve">01.02.01.0100. </t>
  </si>
  <si>
    <t xml:space="preserve">01.02.01.0110. </t>
  </si>
  <si>
    <t xml:space="preserve">01.02.01.0120. </t>
  </si>
  <si>
    <t xml:space="preserve">01.02.01.0130. </t>
  </si>
  <si>
    <t>01.02.02.</t>
  </si>
  <si>
    <t xml:space="preserve">01.02.02.0010. </t>
  </si>
  <si>
    <t xml:space="preserve">01.02.02.0020. </t>
  </si>
  <si>
    <t xml:space="preserve">01.02.02.0030. </t>
  </si>
  <si>
    <t xml:space="preserve">01.02.02.0040. </t>
  </si>
  <si>
    <t xml:space="preserve">01.02.02.0050. </t>
  </si>
  <si>
    <t>01.02.03.</t>
  </si>
  <si>
    <t xml:space="preserve">01.02.03.0010. </t>
  </si>
  <si>
    <t xml:space="preserve">01.02.03.0020. </t>
  </si>
  <si>
    <t xml:space="preserve">01.02.03.0040. </t>
  </si>
  <si>
    <t xml:space="preserve">01.02.03.0050. </t>
  </si>
  <si>
    <t>02.</t>
  </si>
  <si>
    <t>02.01.01.</t>
  </si>
  <si>
    <t xml:space="preserve">02.01.01.0010. </t>
  </si>
  <si>
    <t xml:space="preserve">02.01.01.0020. </t>
  </si>
  <si>
    <t xml:space="preserve">02.01.01.0030. </t>
  </si>
  <si>
    <t xml:space="preserve">02.01.01.0040. </t>
  </si>
  <si>
    <t xml:space="preserve">02.01.01.0090. </t>
  </si>
  <si>
    <t xml:space="preserve">02.01.01.0095. </t>
  </si>
  <si>
    <t xml:space="preserve">02.01.01.0100. </t>
  </si>
  <si>
    <t xml:space="preserve">02.01.01.0110. </t>
  </si>
  <si>
    <t xml:space="preserve">02.01.01.0130. </t>
  </si>
  <si>
    <t xml:space="preserve">02.01.01.0140. </t>
  </si>
  <si>
    <t xml:space="preserve">02.01.01.0150. </t>
  </si>
  <si>
    <t xml:space="preserve">02.01.01.0160. </t>
  </si>
  <si>
    <t xml:space="preserve">02.01.01.0180. </t>
  </si>
  <si>
    <t xml:space="preserve">02.01.01.0190. </t>
  </si>
  <si>
    <t xml:space="preserve">02.01.01.0200. </t>
  </si>
  <si>
    <t xml:space="preserve">02.01.01.0210. </t>
  </si>
  <si>
    <t xml:space="preserve">02.01.01.0215. </t>
  </si>
  <si>
    <t xml:space="preserve">02.01.01.0220. </t>
  </si>
  <si>
    <t xml:space="preserve">02.01.01.0250. </t>
  </si>
  <si>
    <t xml:space="preserve">02.01.01.0260. </t>
  </si>
  <si>
    <t xml:space="preserve">02.01.01.0270. </t>
  </si>
  <si>
    <t xml:space="preserve">02.01.01.0280. </t>
  </si>
  <si>
    <t xml:space="preserve">02.01.01.0290. </t>
  </si>
  <si>
    <t xml:space="preserve">02.01.01.0300. </t>
  </si>
  <si>
    <t xml:space="preserve">02.01.01.0310. </t>
  </si>
  <si>
    <t xml:space="preserve">02.01.01.0320. </t>
  </si>
  <si>
    <t xml:space="preserve">02.01.01.0330. </t>
  </si>
  <si>
    <t>02.02.01.</t>
  </si>
  <si>
    <t xml:space="preserve">02.02.01.0010. </t>
  </si>
  <si>
    <t xml:space="preserve">02.02.01.0020. </t>
  </si>
  <si>
    <t xml:space="preserve">02.02.01.0030. </t>
  </si>
  <si>
    <t xml:space="preserve">02.02.01.0040. </t>
  </si>
  <si>
    <t xml:space="preserve">02.02.01.0050. </t>
  </si>
  <si>
    <t xml:space="preserve">02.02.01.0060. </t>
  </si>
  <si>
    <t xml:space="preserve">02.02.01.0070. </t>
  </si>
  <si>
    <t xml:space="preserve">02.02.01.0080. </t>
  </si>
  <si>
    <t xml:space="preserve">02.02.01.0090. </t>
  </si>
  <si>
    <t xml:space="preserve">02.02.01.0100. </t>
  </si>
  <si>
    <t xml:space="preserve">02.02.01.0110. </t>
  </si>
  <si>
    <t xml:space="preserve">02.02.01.0120. </t>
  </si>
  <si>
    <t xml:space="preserve">02.02.01.0130. </t>
  </si>
  <si>
    <t>02.02.02.</t>
  </si>
  <si>
    <t xml:space="preserve">02.02.02.0010. </t>
  </si>
  <si>
    <t xml:space="preserve">02.02.02.0020. </t>
  </si>
  <si>
    <t xml:space="preserve">02.02.02.0030. </t>
  </si>
  <si>
    <t xml:space="preserve">02.02.02.0040. </t>
  </si>
  <si>
    <t xml:space="preserve">02.02.02.0050. </t>
  </si>
  <si>
    <t>02.02.03.</t>
  </si>
  <si>
    <t xml:space="preserve">02.02.03.0010. </t>
  </si>
  <si>
    <t xml:space="preserve">02.02.03.0020. </t>
  </si>
  <si>
    <t xml:space="preserve">02.02.03.0040. </t>
  </si>
  <si>
    <t xml:space="preserve">02.02.03.0050. </t>
  </si>
  <si>
    <t>03.</t>
  </si>
  <si>
    <t>03.01.01.</t>
  </si>
  <si>
    <t xml:space="preserve">03.01.01.0010. </t>
  </si>
  <si>
    <t xml:space="preserve">03.01.01.0080. </t>
  </si>
  <si>
    <t xml:space="preserve">03.01.01.0090. </t>
  </si>
  <si>
    <t xml:space="preserve">03.01.01.0100. </t>
  </si>
  <si>
    <t xml:space="preserve">03.01.01.0110. </t>
  </si>
  <si>
    <t xml:space="preserve">03.01.01.0130. </t>
  </si>
  <si>
    <t xml:space="preserve">03.01.01.0140. </t>
  </si>
  <si>
    <t xml:space="preserve">03.01.01.0150. </t>
  </si>
  <si>
    <t xml:space="preserve">03.01.01.0160. </t>
  </si>
  <si>
    <t xml:space="preserve">03.01.01.0180. </t>
  </si>
  <si>
    <t xml:space="preserve">03.01.01.0190. </t>
  </si>
  <si>
    <t xml:space="preserve">03.01.01.0200. </t>
  </si>
  <si>
    <t xml:space="preserve">03.01.01.0210. </t>
  </si>
  <si>
    <t xml:space="preserve">03.01.01.0215. </t>
  </si>
  <si>
    <t xml:space="preserve">03.01.01.0220. </t>
  </si>
  <si>
    <t xml:space="preserve">03.01.01.0250. </t>
  </si>
  <si>
    <t xml:space="preserve">03.01.01.0260. </t>
  </si>
  <si>
    <t xml:space="preserve">03.01.01.0270. </t>
  </si>
  <si>
    <t xml:space="preserve">03.01.01.0280. </t>
  </si>
  <si>
    <t xml:space="preserve">03.01.01.0290. </t>
  </si>
  <si>
    <t xml:space="preserve">03.01.01.0300. </t>
  </si>
  <si>
    <t xml:space="preserve">03.01.01.0310. </t>
  </si>
  <si>
    <t xml:space="preserve">03.01.01.0320. </t>
  </si>
  <si>
    <t xml:space="preserve">03.01.01.0330. </t>
  </si>
  <si>
    <t>03.02.01.</t>
  </si>
  <si>
    <t xml:space="preserve">03.02.01.0010. </t>
  </si>
  <si>
    <t xml:space="preserve">03.02.01.0020. </t>
  </si>
  <si>
    <t xml:space="preserve">03.02.01.0030. </t>
  </si>
  <si>
    <t xml:space="preserve">03.02.01.0040. </t>
  </si>
  <si>
    <t xml:space="preserve">03.02.01.0050. </t>
  </si>
  <si>
    <t xml:space="preserve">03.02.01.0060. </t>
  </si>
  <si>
    <t xml:space="preserve">03.02.01.0070. </t>
  </si>
  <si>
    <t xml:space="preserve">03.02.01.0080. </t>
  </si>
  <si>
    <t xml:space="preserve">03.02.01.0090. </t>
  </si>
  <si>
    <t xml:space="preserve">03.02.01.0100. </t>
  </si>
  <si>
    <t xml:space="preserve">03.02.01.0110. </t>
  </si>
  <si>
    <t xml:space="preserve">03.02.01.0120. </t>
  </si>
  <si>
    <t xml:space="preserve">03.02.01.0130. </t>
  </si>
  <si>
    <t>03.02.02.</t>
  </si>
  <si>
    <t xml:space="preserve">03.02.02.0010. </t>
  </si>
  <si>
    <t xml:space="preserve">03.02.02.0020. </t>
  </si>
  <si>
    <t xml:space="preserve">03.02.02.0030. </t>
  </si>
  <si>
    <t xml:space="preserve">03.02.02.0040. </t>
  </si>
  <si>
    <t xml:space="preserve">03.02.02.0050. </t>
  </si>
  <si>
    <t>03.02.03.</t>
  </si>
  <si>
    <t xml:space="preserve">03.02.03.0010. </t>
  </si>
  <si>
    <t xml:space="preserve">03.02.03.0020. </t>
  </si>
  <si>
    <t xml:space="preserve">03.02.03.0040. </t>
  </si>
  <si>
    <t xml:space="preserve">03.02.03.0050. </t>
  </si>
  <si>
    <t>04.</t>
  </si>
  <si>
    <t>04.01.</t>
  </si>
  <si>
    <t xml:space="preserve">04.01.  .0020. </t>
  </si>
  <si>
    <t xml:space="preserve">04.01.  .0100. </t>
  </si>
  <si>
    <t xml:space="preserve">04.01.  .0110. </t>
  </si>
  <si>
    <t xml:space="preserve">04.01.  .0120. </t>
  </si>
  <si>
    <t xml:space="preserve">04.01.  .0130. </t>
  </si>
  <si>
    <t xml:space="preserve">04.01.  .0140. </t>
  </si>
  <si>
    <t xml:space="preserve">04.01.  .0150. </t>
  </si>
  <si>
    <t xml:space="preserve">04.01.  .0160. </t>
  </si>
  <si>
    <t xml:space="preserve">04.01.  .0180. </t>
  </si>
  <si>
    <t xml:space="preserve">04.01.  .0190. </t>
  </si>
  <si>
    <t xml:space="preserve">04.01.  .0200. </t>
  </si>
  <si>
    <t xml:space="preserve">04.01.  .0210. </t>
  </si>
  <si>
    <t xml:space="preserve">04.01.  .0220. </t>
  </si>
  <si>
    <t xml:space="preserve">04.01.  .0250. </t>
  </si>
  <si>
    <t xml:space="preserve">04.01.  .0260. </t>
  </si>
  <si>
    <t xml:space="preserve">04.01.  .0270. </t>
  </si>
  <si>
    <t xml:space="preserve">04.01.  .0280. </t>
  </si>
  <si>
    <t xml:space="preserve">04.01.  .0290. </t>
  </si>
  <si>
    <t xml:space="preserve">04.01.  .0300. </t>
  </si>
  <si>
    <t xml:space="preserve">04.01.  .0310. </t>
  </si>
  <si>
    <t xml:space="preserve">04.01.  .0320. </t>
  </si>
  <si>
    <t xml:space="preserve">04.01.  .0330. </t>
  </si>
  <si>
    <t>04.02.01.</t>
  </si>
  <si>
    <t xml:space="preserve">04.02.01.0010. </t>
  </si>
  <si>
    <t xml:space="preserve">04.02.01.0020. </t>
  </si>
  <si>
    <t xml:space="preserve">04.02.01.0030. </t>
  </si>
  <si>
    <t xml:space="preserve">04.02.01.0040. </t>
  </si>
  <si>
    <t xml:space="preserve">04.02.01.0050. </t>
  </si>
  <si>
    <t xml:space="preserve">04.02.01.0060. </t>
  </si>
  <si>
    <t xml:space="preserve">04.02.01.0070. </t>
  </si>
  <si>
    <t xml:space="preserve">04.02.01.0080. </t>
  </si>
  <si>
    <t xml:space="preserve">04.02.01.0090. </t>
  </si>
  <si>
    <t xml:space="preserve">04.02.01.0100. </t>
  </si>
  <si>
    <t xml:space="preserve">04.02.01.0110. </t>
  </si>
  <si>
    <t xml:space="preserve">04.02.01.0120. </t>
  </si>
  <si>
    <t xml:space="preserve">04.02.01.0130. </t>
  </si>
  <si>
    <t>04.02.02.</t>
  </si>
  <si>
    <t xml:space="preserve">04.02.02.0010. </t>
  </si>
  <si>
    <t xml:space="preserve">04.02.02.0020. </t>
  </si>
  <si>
    <t xml:space="preserve">04.02.02.0030. </t>
  </si>
  <si>
    <t xml:space="preserve">04.02.02.0040. </t>
  </si>
  <si>
    <t xml:space="preserve">04.02.02.0050. </t>
  </si>
  <si>
    <t>Bo,XA</t>
  </si>
  <si>
    <t>Mietbereich Lorenz 2. + 3. OG</t>
  </si>
  <si>
    <t>Trockenbauarbeiten - Wände</t>
  </si>
  <si>
    <t>GK-Metallständerwand W112, F0, Q3, d= 100mm, 2x 12,5mm beidseitig GKB</t>
  </si>
  <si>
    <t>GK-Metallständerwand W112, F0, Q3, d= 125mm, 2x 12,5mm beidseitig GKB</t>
  </si>
  <si>
    <t>GK-Installationswand W116, F0,  Q3, h=3,30m</t>
  </si>
  <si>
    <t>GK-Installationswand W116, F0,  Q3, h=1,50m</t>
  </si>
  <si>
    <t>Zulage Spachtelung Q4</t>
  </si>
  <si>
    <t>Zulage für horizontale Beplankung Vorsatzschale, b=250mm, 2x 12,5 mm einseitig GKB</t>
  </si>
  <si>
    <t>Gleitenden Deckenanschluss</t>
  </si>
  <si>
    <t>Zulage Freistehende Wandenden</t>
  </si>
  <si>
    <t>Zulage Außenecken</t>
  </si>
  <si>
    <t>Zulage Übergangsprofil</t>
  </si>
  <si>
    <t>Anschluss Fassade Außenwand Fassadenschwert</t>
  </si>
  <si>
    <t>Türöffnung 1- flg., B/H 760 - 1010/2135 mm, WD 100 - 125 mm</t>
  </si>
  <si>
    <t>Türöffnung 1- flg. B/H 1135 - 1510/2135 mm, WD 100 - 125mm</t>
  </si>
  <si>
    <t>Türöffnung 2- flg. B/H 2010/2135 mm, WD 100 - 125mm</t>
  </si>
  <si>
    <t>Zulage zur eigentlichen Türöffnung (Türauschnitte verstärkt)</t>
  </si>
  <si>
    <t>Universal-Traverse für wandhängende Lasten</t>
  </si>
  <si>
    <t>Ausschnitte herstellen, Abmessungen bis 15 cm SL</t>
  </si>
  <si>
    <t>Ausschnitte herstellen, Abmessungen bis 30 cm SL</t>
  </si>
  <si>
    <t>Ausschnitte schließen, Abmessungen bis 15 cm SL</t>
  </si>
  <si>
    <t>Ausschnitte schließen, Abmessungen bis 30 cm SL</t>
  </si>
  <si>
    <t>Ausschnitte herstellen, Durchmesser bis 75 mm</t>
  </si>
  <si>
    <t>Ausschnitte herstellen, Durchmesser bis 150 mm</t>
  </si>
  <si>
    <t>Ausschnitte schließen, Durchmesser bis 75 mm</t>
  </si>
  <si>
    <t>Ausschnitte schließen, Durchmesser bis 150 mm</t>
  </si>
  <si>
    <t>Trockenbauarbeiten - GK-Decke</t>
  </si>
  <si>
    <t>D112 Unterdecke, F0, Q2, GKB 1x 12,5 mm</t>
  </si>
  <si>
    <t>Zulage 2-lagige Beplankung</t>
  </si>
  <si>
    <t>Zulage Bekleidung GKB-I, einseitig, 1x12,5mm</t>
  </si>
  <si>
    <t>Zulage Bekleidung GKB-I, einseitig, 2x12,5mm</t>
  </si>
  <si>
    <t>Zulage Verspachtelung Oberfläche  in Q3</t>
  </si>
  <si>
    <t>Wandanschluss mit Winkelprofil</t>
  </si>
  <si>
    <t>Kantenschutzprofil</t>
  </si>
  <si>
    <t>Öffnung herstellen, Abmessung bis 30cm SL (Beleuchtung)</t>
  </si>
  <si>
    <t>Öffnung herstellen, Durchmesser  bis Du =30cm (Beleuchtung)</t>
  </si>
  <si>
    <t>Revisionsklappe REVO 12,5 40x40 (Alutop)</t>
  </si>
  <si>
    <t>Revisionsklappe REVO 12,5 60x60 (Alutop)</t>
  </si>
  <si>
    <t>Revisionsklappe, REVO 12,5 40x40 (Alutop), F90</t>
  </si>
  <si>
    <t>Revisionsklappe REVO 12,5 60x60 (Alutop), F90</t>
  </si>
  <si>
    <t>Trockenbauarbeiten - Akustikdecke</t>
  </si>
  <si>
    <t>Akustikdecke inkl. umlaufenden Fries, Fabr. Knauf Cleaneo Akustikdecke D127</t>
  </si>
  <si>
    <t>Zulage für Wandanschluss mit Stufenwinklel und Schattenfuge</t>
  </si>
  <si>
    <t>Deckenschürze, senkrecht, 2x12,5mm GKB, h=ca.40cm</t>
  </si>
  <si>
    <t>Öffnungen für Leuchten/Lautsprecher o. ä., rund, bis Du=300mm</t>
  </si>
  <si>
    <t>Öffnungen für Leuchten/Lautsprecher o. ä., eckig, bis 300x300mm</t>
  </si>
  <si>
    <t>Trockenbauarbeiten - GK-Deckenschürze</t>
  </si>
  <si>
    <t>Deckenschürze,  h= ca.0,67 m (Alu-Blechdecke)</t>
  </si>
  <si>
    <t>Deckenschürze,  h= ca.0,90 m (Akustikdecke)</t>
  </si>
  <si>
    <t>Deckenabkofferung, b=ca. 1,50m, h=ca. 0,60m</t>
  </si>
  <si>
    <t>Zulage für Eckschutzprofil</t>
  </si>
  <si>
    <t>Mietbereich DWD EG + 4.OG</t>
  </si>
  <si>
    <t>GK-Metallständerwand W112, F0, Q3, d= 150mm, 2x 12,5mm beidseitig GKB</t>
  </si>
  <si>
    <t>GK-Metallständerwand W112, F90, Q3, d= 100mm, 2x 12,5mm beidseitig GKF</t>
  </si>
  <si>
    <t>Mietbereich Kone 1.OG</t>
  </si>
  <si>
    <t>Musterbüro 5.OG</t>
  </si>
  <si>
    <t>Zulage für Beplankung GKB-I, 2x 12,5 mm, einseitig</t>
  </si>
  <si>
    <t>m2</t>
  </si>
  <si>
    <t>m</t>
  </si>
  <si>
    <t>Stck</t>
  </si>
  <si>
    <t>Nettosumme [€]</t>
  </si>
  <si>
    <t>Nachlass</t>
  </si>
  <si>
    <t>Gesamtsumme netto [€]</t>
  </si>
  <si>
    <t>Titelzusammenstellung:</t>
  </si>
  <si>
    <t>NEP</t>
  </si>
  <si>
    <t>Mayer</t>
  </si>
  <si>
    <t>Pitkowski</t>
  </si>
  <si>
    <t>K+S Ausbau</t>
  </si>
  <si>
    <t>Interakustik</t>
  </si>
  <si>
    <t>05374-965910</t>
  </si>
  <si>
    <t>0611-97161227</t>
  </si>
  <si>
    <t>06172-9989450</t>
  </si>
  <si>
    <t>06043-8409</t>
  </si>
  <si>
    <t>Borsch</t>
  </si>
  <si>
    <t>0177/ 5075270</t>
  </si>
  <si>
    <t>ANGEBOT KORRIGIERT!</t>
  </si>
  <si>
    <t>4,5 Mio</t>
  </si>
  <si>
    <t>2,4 Mio</t>
  </si>
  <si>
    <t>ÜBERARBEITUNG</t>
  </si>
  <si>
    <t>Nachl. In EP´s enthalten</t>
  </si>
  <si>
    <t>Zulage für Ausschnitte in Wänden, bxh = 100 x 20cm</t>
  </si>
  <si>
    <t>EP gilt nur für die im LV angegebenen Mengen</t>
  </si>
  <si>
    <t>bei Massenmehrug wird der EP neu verhandelt</t>
  </si>
  <si>
    <t>nach Verhandlung/ tel. am 27.11.2024</t>
  </si>
  <si>
    <t>prov. Baubüro - siehe Anlage 5</t>
  </si>
  <si>
    <t>psch</t>
  </si>
  <si>
    <t>ÜBERARBEITUNG 25.11.2024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</si>
</sst>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[$€-407]_-;\-* #,##0.00\ [$€-407]_-;_-* &quot;-&quot;??\ [$€-407]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01">
    <xf numFmtId="0" fontId="0" fillId="0" borderId="0" xfId="0"/>
    <xf numFmtId="0" fontId="4" fillId="0" borderId="1" xfId="0" applyFont="1" applyBorder="1"/>
    <xf numFmtId="0" fontId="5" fillId="0" borderId="2" xfId="0" applyFont="1" applyBorder="1"/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14" fontId="4" fillId="0" borderId="5" xfId="0" applyNumberFormat="1" applyFont="1" applyBorder="1"/>
    <xf numFmtId="0" fontId="4" fillId="0" borderId="6" xfId="0" applyFont="1" applyBorder="1"/>
    <xf numFmtId="0" fontId="5" fillId="0" borderId="4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4" fillId="0" borderId="12" xfId="0" applyFont="1" applyBorder="1" applyAlignment="1">
      <alignment horizontal="center"/>
    </xf>
    <xf numFmtId="0" fontId="4" fillId="2" borderId="1" xfId="0" applyFont="1" applyFill="1" applyBorder="1"/>
    <xf numFmtId="0" fontId="4" fillId="2" borderId="3" xfId="0" applyFont="1" applyFill="1" applyBorder="1"/>
    <xf numFmtId="0" fontId="4" fillId="0" borderId="5" xfId="0" applyFont="1" applyBorder="1"/>
    <xf numFmtId="0" fontId="6" fillId="0" borderId="4" xfId="0" applyFont="1" applyBorder="1"/>
    <xf numFmtId="0" fontId="7" fillId="0" borderId="4" xfId="0" applyFont="1" applyBorder="1"/>
    <xf numFmtId="0" fontId="7" fillId="0" borderId="5" xfId="0" applyFont="1" applyBorder="1"/>
    <xf numFmtId="0" fontId="4" fillId="0" borderId="11" xfId="0" applyFont="1" applyBorder="1" applyAlignment="1">
      <alignment horizontal="center"/>
    </xf>
    <xf numFmtId="43" fontId="5" fillId="0" borderId="2" xfId="1" applyFont="1" applyBorder="1" applyAlignment="1">
      <alignment horizontal="center"/>
    </xf>
    <xf numFmtId="43" fontId="5" fillId="0" borderId="0" xfId="1" applyFont="1" applyAlignment="1">
      <alignment horizontal="center"/>
    </xf>
    <xf numFmtId="43" fontId="4" fillId="0" borderId="0" xfId="1" applyFont="1" applyAlignment="1">
      <alignment horizontal="center"/>
    </xf>
    <xf numFmtId="43" fontId="4" fillId="0" borderId="7" xfId="1" applyFont="1" applyBorder="1" applyAlignment="1">
      <alignment horizontal="center"/>
    </xf>
    <xf numFmtId="43" fontId="4" fillId="0" borderId="11" xfId="1" applyFont="1" applyBorder="1" applyAlignment="1">
      <alignment horizontal="center"/>
    </xf>
    <xf numFmtId="0" fontId="3" fillId="0" borderId="0" xfId="0" applyFont="1"/>
    <xf numFmtId="0" fontId="3" fillId="0" borderId="14" xfId="0" applyFont="1" applyBorder="1"/>
    <xf numFmtId="4" fontId="3" fillId="0" borderId="16" xfId="0" applyNumberFormat="1" applyFont="1" applyBorder="1"/>
    <xf numFmtId="164" fontId="3" fillId="0" borderId="17" xfId="0" applyNumberFormat="1" applyFont="1" applyBorder="1"/>
    <xf numFmtId="0" fontId="10" fillId="3" borderId="14" xfId="0" applyFont="1" applyFill="1" applyBorder="1"/>
    <xf numFmtId="4" fontId="10" fillId="0" borderId="16" xfId="0" applyNumberFormat="1" applyFont="1" applyBorder="1"/>
    <xf numFmtId="164" fontId="10" fillId="0" borderId="17" xfId="0" applyNumberFormat="1" applyFont="1" applyBorder="1"/>
    <xf numFmtId="164" fontId="3" fillId="0" borderId="17" xfId="0" applyNumberFormat="1" applyFont="1" applyBorder="1" applyAlignment="1">
      <alignment horizontal="right"/>
    </xf>
    <xf numFmtId="0" fontId="10" fillId="3" borderId="13" xfId="0" applyFont="1" applyFill="1" applyBorder="1"/>
    <xf numFmtId="4" fontId="10" fillId="3" borderId="18" xfId="0" applyNumberFormat="1" applyFont="1" applyFill="1" applyBorder="1"/>
    <xf numFmtId="164" fontId="10" fillId="3" borderId="19" xfId="0" applyNumberFormat="1" applyFont="1" applyFill="1" applyBorder="1"/>
    <xf numFmtId="0" fontId="10" fillId="0" borderId="14" xfId="0" applyFont="1" applyBorder="1"/>
    <xf numFmtId="0" fontId="10" fillId="0" borderId="15" xfId="0" applyFont="1" applyBorder="1"/>
    <xf numFmtId="0" fontId="10" fillId="0" borderId="0" xfId="0" applyFont="1"/>
    <xf numFmtId="0" fontId="3" fillId="3" borderId="14" xfId="0" applyFont="1" applyFill="1" applyBorder="1"/>
    <xf numFmtId="0" fontId="10" fillId="2" borderId="20" xfId="0" applyFont="1" applyFill="1" applyBorder="1"/>
    <xf numFmtId="0" fontId="10" fillId="2" borderId="21" xfId="0" applyFont="1" applyFill="1" applyBorder="1"/>
    <xf numFmtId="4" fontId="10" fillId="2" borderId="22" xfId="0" applyNumberFormat="1" applyFont="1" applyFill="1" applyBorder="1"/>
    <xf numFmtId="164" fontId="10" fillId="2" borderId="23" xfId="0" applyNumberFormat="1" applyFont="1" applyFill="1" applyBorder="1"/>
    <xf numFmtId="0" fontId="10" fillId="2" borderId="24" xfId="0" applyFont="1" applyFill="1" applyBorder="1"/>
    <xf numFmtId="0" fontId="10" fillId="2" borderId="14" xfId="0" applyFont="1" applyFill="1" applyBorder="1"/>
    <xf numFmtId="10" fontId="10" fillId="2" borderId="16" xfId="0" applyNumberFormat="1" applyFont="1" applyFill="1" applyBorder="1"/>
    <xf numFmtId="164" fontId="10" fillId="2" borderId="17" xfId="0" applyNumberFormat="1" applyFont="1" applyFill="1" applyBorder="1"/>
    <xf numFmtId="0" fontId="10" fillId="2" borderId="25" xfId="0" applyFont="1" applyFill="1" applyBorder="1"/>
    <xf numFmtId="0" fontId="10" fillId="2" borderId="26" xfId="0" applyFont="1" applyFill="1" applyBorder="1"/>
    <xf numFmtId="4" fontId="10" fillId="2" borderId="27" xfId="0" applyNumberFormat="1" applyFont="1" applyFill="1" applyBorder="1"/>
    <xf numFmtId="164" fontId="10" fillId="2" borderId="28" xfId="0" applyNumberFormat="1" applyFont="1" applyFill="1" applyBorder="1"/>
    <xf numFmtId="4" fontId="3" fillId="0" borderId="0" xfId="0" applyNumberFormat="1" applyFont="1"/>
    <xf numFmtId="0" fontId="11" fillId="0" borderId="0" xfId="0" applyFont="1"/>
    <xf numFmtId="43" fontId="3" fillId="0" borderId="16" xfId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43" fontId="10" fillId="0" borderId="16" xfId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43" fontId="10" fillId="3" borderId="18" xfId="1" applyFont="1" applyFill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43" fontId="10" fillId="2" borderId="22" xfId="1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43" fontId="10" fillId="2" borderId="16" xfId="1" applyFont="1" applyFill="1" applyBorder="1" applyAlignment="1">
      <alignment horizontal="center"/>
    </xf>
    <xf numFmtId="0" fontId="10" fillId="2" borderId="17" xfId="0" applyFont="1" applyFill="1" applyBorder="1" applyAlignment="1">
      <alignment horizontal="center"/>
    </xf>
    <xf numFmtId="43" fontId="10" fillId="2" borderId="27" xfId="1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/>
    </xf>
    <xf numFmtId="43" fontId="3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164" fontId="12" fillId="0" borderId="16" xfId="0" applyNumberFormat="1" applyFont="1" applyBorder="1"/>
    <xf numFmtId="164" fontId="13" fillId="0" borderId="16" xfId="0" applyNumberFormat="1" applyFont="1" applyBorder="1"/>
    <xf numFmtId="4" fontId="9" fillId="0" borderId="16" xfId="0" applyNumberFormat="1" applyFont="1" applyBorder="1"/>
    <xf numFmtId="4" fontId="3" fillId="4" borderId="16" xfId="0" applyNumberFormat="1" applyFont="1" applyFill="1" applyBorder="1"/>
    <xf numFmtId="14" fontId="4" fillId="0" borderId="4" xfId="0" applyNumberFormat="1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4" fontId="11" fillId="0" borderId="16" xfId="0" applyNumberFormat="1" applyFont="1" applyBorder="1"/>
    <xf numFmtId="2" fontId="3" fillId="0" borderId="17" xfId="2" applyNumberFormat="1" applyFont="1" applyBorder="1"/>
    <xf numFmtId="10" fontId="11" fillId="2" borderId="16" xfId="0" applyNumberFormat="1" applyFont="1" applyFill="1" applyBorder="1"/>
    <xf numFmtId="164" fontId="11" fillId="2" borderId="17" xfId="0" applyNumberFormat="1" applyFont="1" applyFill="1" applyBorder="1"/>
    <xf numFmtId="4" fontId="14" fillId="5" borderId="16" xfId="0" applyNumberFormat="1" applyFont="1" applyFill="1" applyBorder="1"/>
    <xf numFmtId="4" fontId="3" fillId="5" borderId="16" xfId="0" applyNumberFormat="1" applyFont="1" applyFill="1" applyBorder="1"/>
    <xf numFmtId="4" fontId="11" fillId="5" borderId="16" xfId="0" applyNumberFormat="1" applyFont="1" applyFill="1" applyBorder="1"/>
    <xf numFmtId="0" fontId="2" fillId="5" borderId="14" xfId="0" applyFont="1" applyFill="1" applyBorder="1"/>
    <xf numFmtId="0" fontId="10" fillId="6" borderId="0" xfId="0" applyFont="1" applyFill="1"/>
    <xf numFmtId="0" fontId="3" fillId="6" borderId="14" xfId="0" applyFont="1" applyFill="1" applyBorder="1"/>
    <xf numFmtId="43" fontId="3" fillId="6" borderId="16" xfId="1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164" fontId="3" fillId="5" borderId="17" xfId="0" applyNumberFormat="1" applyFont="1" applyFill="1" applyBorder="1"/>
    <xf numFmtId="0" fontId="1" fillId="7" borderId="14" xfId="0" applyFont="1" applyFill="1" applyBorder="1"/>
    <xf numFmtId="43" fontId="3" fillId="7" borderId="16" xfId="1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164" fontId="12" fillId="7" borderId="16" xfId="0" applyNumberFormat="1" applyFont="1" applyFill="1" applyBorder="1"/>
    <xf numFmtId="164" fontId="3" fillId="7" borderId="17" xfId="0" applyNumberFormat="1" applyFont="1" applyFill="1" applyBorder="1"/>
    <xf numFmtId="0" fontId="1" fillId="7" borderId="17" xfId="0" applyFont="1" applyFill="1" applyBorder="1" applyAlignment="1">
      <alignment horizontal="center"/>
    </xf>
  </cellXfs>
  <cellStyles count="3">
    <cellStyle name="Komma" xfId="1" builtinId="3"/>
    <cellStyle name="Prozent" xfId="2" builtinId="5"/>
    <cellStyle name="Standard" xfId="0" builtinId="0"/>
  </cellStyles>
  <dxfs count="1">
    <dxf>
      <font>
        <color auto="1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terloh, Karola" id="{2DCB9D89-AF17-4D86-BE1F-E4BA67CB3B85}" userId="S::Karola.Osterloh@lupp.de::150d8b44-e214-4dc2-9bef-ebb6628ce79f" providerId="AD"/>
</personList>
</file>

<file path=xl/theme/theme1.xml><?xml version="1.0" encoding="utf-8"?>
<a:theme xmlns:a="http://schemas.openxmlformats.org/drawingml/2006/main" name="Office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79" dT="2024-11-14T09:33:42.85" personId="{2DCB9D89-AF17-4D86-BE1F-E4BA67CB3B85}" id="{F8EFC6CC-F4DF-4582-BF02-2A6D0030A626}">
    <text>148,00 €/m vorher. Pos.</text>
  </threadedComment>
  <threadedComment ref="R182" dT="2024-11-14T09:32:19.19" personId="{2DCB9D89-AF17-4D86-BE1F-E4BA67CB3B85}" id="{37BB3404-7A11-475B-849B-D3BC13D9898E}">
    <text>EP fehlt, aus vergleichb. Pos. übernommen</text>
  </threadedComment>
  <threadedComment ref="R188" dT="2024-11-14T09:33:42.85" personId="{2DCB9D89-AF17-4D86-BE1F-E4BA67CB3B85}" id="{85143BF8-4F4A-4762-BA14-30BA5AD61A0B}">
    <text>148,00 €/m vorher. Pos.</text>
  </threadedComment>
  <threadedComment ref="R190" dT="2024-11-14T09:34:22.57" personId="{2DCB9D89-AF17-4D86-BE1F-E4BA67CB3B85}" id="{ACC74C86-15DA-4CF8-AD7D-3EEB9251AA2D}">
    <text>420,00 €/ Stck aus vorher. Pos.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650D-7E81-4EE1-BB14-014EDA9F6DBA}">
  <sheetPr>
    <pageSetUpPr fitToPage="1"/>
  </sheetPr>
  <dimension ref="A1:W259"/>
  <sheetViews>
    <sheetView tabSelected="1" zoomScale="70" zoomScaleNormal="70" workbookViewId="0">
      <pane xSplit="7" ySplit="10" topLeftCell="H222" activePane="bottomRight" state="frozen"/>
      <selection pane="topRight" activeCell="H1" sqref="H1"/>
      <selection pane="bottomLeft" activeCell="A11" sqref="A11"/>
      <selection pane="bottomRight" activeCell="L258" sqref="L258"/>
    </sheetView>
  </sheetViews>
  <sheetFormatPr baseColWidth="10" defaultRowHeight="13.8" x14ac:dyDescent="0.25"/>
  <cols>
    <col min="1" max="1" width="14.44140625" style="30" customWidth="1"/>
    <col min="2" max="2" width="8.33203125" style="30" hidden="1" customWidth="1"/>
    <col min="3" max="3" width="83.77734375" style="30" bestFit="1" customWidth="1"/>
    <col min="4" max="4" width="10.109375" style="71" bestFit="1" customWidth="1"/>
    <col min="5" max="5" width="8.109375" style="72" customWidth="1"/>
    <col min="6" max="6" width="14.88671875" style="57" hidden="1" customWidth="1"/>
    <col min="7" max="7" width="14" style="57" hidden="1" customWidth="1"/>
    <col min="8" max="8" width="14.88671875" style="57" bestFit="1" customWidth="1"/>
    <col min="9" max="9" width="21.33203125" style="57" customWidth="1"/>
    <col min="10" max="10" width="14.88671875" style="57" hidden="1" customWidth="1"/>
    <col min="11" max="11" width="14.6640625" style="57" hidden="1" customWidth="1"/>
    <col min="12" max="12" width="14.88671875" style="57" bestFit="1" customWidth="1"/>
    <col min="13" max="13" width="14.6640625" style="57" bestFit="1" customWidth="1"/>
    <col min="14" max="14" width="14.88671875" style="57" bestFit="1" customWidth="1"/>
    <col min="15" max="15" width="14" style="57" bestFit="1" customWidth="1"/>
    <col min="16" max="16" width="14.88671875" style="57" bestFit="1" customWidth="1"/>
    <col min="17" max="17" width="15" style="57" bestFit="1" customWidth="1"/>
    <col min="18" max="18" width="14.88671875" style="57" bestFit="1" customWidth="1"/>
    <col min="19" max="19" width="18" style="57" customWidth="1"/>
    <col min="20" max="20" width="14.88671875" style="57" bestFit="1" customWidth="1"/>
    <col min="21" max="21" width="14.6640625" style="57" bestFit="1" customWidth="1"/>
    <col min="22" max="22" width="14.88671875" style="57" bestFit="1" customWidth="1"/>
    <col min="23" max="23" width="14" style="57" bestFit="1" customWidth="1"/>
    <col min="24" max="16384" width="11.5546875" style="30"/>
  </cols>
  <sheetData>
    <row r="1" spans="1:23" x14ac:dyDescent="0.25">
      <c r="A1" s="1" t="s">
        <v>0</v>
      </c>
      <c r="B1" s="2"/>
      <c r="C1" s="3" t="s">
        <v>17</v>
      </c>
      <c r="D1" s="25"/>
      <c r="E1" s="4"/>
      <c r="F1" s="18" t="s">
        <v>1</v>
      </c>
      <c r="G1" s="19" t="s">
        <v>294</v>
      </c>
      <c r="H1" s="18" t="s">
        <v>1</v>
      </c>
      <c r="I1" s="19" t="s">
        <v>286</v>
      </c>
      <c r="J1" s="18" t="s">
        <v>1</v>
      </c>
      <c r="K1" s="19" t="s">
        <v>286</v>
      </c>
      <c r="L1" s="18" t="s">
        <v>1</v>
      </c>
      <c r="M1" s="19" t="s">
        <v>286</v>
      </c>
      <c r="N1" s="18" t="s">
        <v>1</v>
      </c>
      <c r="O1" s="19" t="s">
        <v>294</v>
      </c>
      <c r="P1" s="18" t="s">
        <v>1</v>
      </c>
      <c r="Q1" s="19" t="s">
        <v>287</v>
      </c>
      <c r="R1" s="18" t="s">
        <v>1</v>
      </c>
      <c r="S1" s="19" t="s">
        <v>288</v>
      </c>
      <c r="T1" s="18" t="s">
        <v>1</v>
      </c>
      <c r="U1" s="19" t="s">
        <v>289</v>
      </c>
      <c r="V1" s="18" t="s">
        <v>1</v>
      </c>
      <c r="W1" s="19"/>
    </row>
    <row r="2" spans="1:23" x14ac:dyDescent="0.25">
      <c r="A2" s="5"/>
      <c r="B2" s="6"/>
      <c r="C2" s="7"/>
      <c r="D2" s="26"/>
      <c r="E2" s="8"/>
      <c r="F2" s="5" t="s">
        <v>2</v>
      </c>
      <c r="G2" s="20" t="s">
        <v>295</v>
      </c>
      <c r="H2" s="5" t="s">
        <v>2</v>
      </c>
      <c r="I2" s="20" t="s">
        <v>293</v>
      </c>
      <c r="J2" s="5" t="s">
        <v>2</v>
      </c>
      <c r="K2" s="20" t="s">
        <v>293</v>
      </c>
      <c r="L2" s="5" t="s">
        <v>2</v>
      </c>
      <c r="M2" s="20" t="s">
        <v>293</v>
      </c>
      <c r="N2" s="5" t="s">
        <v>2</v>
      </c>
      <c r="O2" s="20" t="s">
        <v>295</v>
      </c>
      <c r="P2" s="5" t="s">
        <v>2</v>
      </c>
      <c r="Q2" s="20" t="s">
        <v>291</v>
      </c>
      <c r="R2" s="5" t="s">
        <v>2</v>
      </c>
      <c r="S2" s="20" t="s">
        <v>292</v>
      </c>
      <c r="T2" s="5" t="s">
        <v>2</v>
      </c>
      <c r="U2" s="20" t="s">
        <v>290</v>
      </c>
      <c r="V2" s="5" t="s">
        <v>2</v>
      </c>
      <c r="W2" s="20"/>
    </row>
    <row r="3" spans="1:23" ht="14.4" thickBot="1" x14ac:dyDescent="0.3">
      <c r="A3" s="5" t="s">
        <v>3</v>
      </c>
      <c r="B3" s="6"/>
      <c r="C3" s="7" t="s">
        <v>18</v>
      </c>
      <c r="D3" s="26"/>
      <c r="E3" s="8"/>
      <c r="F3" s="10" t="s">
        <v>4</v>
      </c>
      <c r="G3" s="9">
        <v>45609</v>
      </c>
      <c r="H3" s="10" t="s">
        <v>4</v>
      </c>
      <c r="I3" s="9">
        <v>45587</v>
      </c>
      <c r="J3" s="10" t="s">
        <v>4</v>
      </c>
      <c r="K3" s="9">
        <v>45587</v>
      </c>
      <c r="L3" s="10" t="s">
        <v>4</v>
      </c>
      <c r="M3" s="9">
        <v>45595</v>
      </c>
      <c r="N3" s="10" t="s">
        <v>4</v>
      </c>
      <c r="O3" s="9">
        <v>45609</v>
      </c>
      <c r="P3" s="10" t="s">
        <v>4</v>
      </c>
      <c r="Q3" s="9">
        <v>45601</v>
      </c>
      <c r="R3" s="10" t="s">
        <v>4</v>
      </c>
      <c r="S3" s="9">
        <v>45595</v>
      </c>
      <c r="T3" s="10" t="s">
        <v>4</v>
      </c>
      <c r="U3" s="9">
        <v>45607</v>
      </c>
      <c r="V3" s="10" t="s">
        <v>4</v>
      </c>
      <c r="W3" s="9"/>
    </row>
    <row r="4" spans="1:23" hidden="1" x14ac:dyDescent="0.25">
      <c r="A4" s="11"/>
      <c r="B4" s="6"/>
      <c r="C4" s="6"/>
      <c r="D4" s="26"/>
      <c r="E4" s="8"/>
      <c r="F4" s="21" t="s">
        <v>5</v>
      </c>
      <c r="G4" s="20"/>
      <c r="H4" s="21" t="s">
        <v>5</v>
      </c>
      <c r="I4" s="20"/>
      <c r="J4" s="21" t="s">
        <v>5</v>
      </c>
      <c r="K4" s="20"/>
      <c r="L4" s="21" t="s">
        <v>5</v>
      </c>
      <c r="M4" s="20"/>
      <c r="N4" s="21" t="s">
        <v>5</v>
      </c>
      <c r="O4" s="20"/>
      <c r="P4" s="21" t="s">
        <v>5</v>
      </c>
      <c r="Q4" s="20"/>
      <c r="R4" s="21" t="s">
        <v>5</v>
      </c>
      <c r="S4" s="20"/>
      <c r="T4" s="21" t="s">
        <v>5</v>
      </c>
      <c r="U4" s="20"/>
      <c r="V4" s="21" t="s">
        <v>5</v>
      </c>
      <c r="W4" s="20"/>
    </row>
    <row r="5" spans="1:23" hidden="1" x14ac:dyDescent="0.25">
      <c r="A5" s="11"/>
      <c r="B5" s="6"/>
      <c r="C5" s="6"/>
      <c r="D5" s="26"/>
      <c r="E5" s="8"/>
      <c r="F5" s="22" t="s">
        <v>6</v>
      </c>
      <c r="G5" s="23" t="s">
        <v>7</v>
      </c>
      <c r="H5" s="22" t="s">
        <v>6</v>
      </c>
      <c r="I5" s="23" t="s">
        <v>7</v>
      </c>
      <c r="J5" s="22" t="s">
        <v>6</v>
      </c>
      <c r="K5" s="23" t="s">
        <v>7</v>
      </c>
      <c r="L5" s="22" t="s">
        <v>6</v>
      </c>
      <c r="M5" s="23" t="s">
        <v>7</v>
      </c>
      <c r="N5" s="22" t="s">
        <v>6</v>
      </c>
      <c r="O5" s="23" t="s">
        <v>7</v>
      </c>
      <c r="P5" s="22" t="s">
        <v>6</v>
      </c>
      <c r="Q5" s="23" t="s">
        <v>7</v>
      </c>
      <c r="R5" s="22" t="s">
        <v>6</v>
      </c>
      <c r="S5" s="23" t="s">
        <v>7</v>
      </c>
      <c r="T5" s="22" t="s">
        <v>6</v>
      </c>
      <c r="U5" s="23" t="s">
        <v>7</v>
      </c>
      <c r="V5" s="22" t="s">
        <v>6</v>
      </c>
      <c r="W5" s="23" t="s">
        <v>7</v>
      </c>
    </row>
    <row r="6" spans="1:23" s="43" customFormat="1" hidden="1" x14ac:dyDescent="0.25">
      <c r="A6" s="5"/>
      <c r="B6" s="7"/>
      <c r="C6" s="7"/>
      <c r="D6" s="27"/>
      <c r="E6" s="12"/>
      <c r="F6" s="77">
        <v>45517</v>
      </c>
      <c r="G6" s="78">
        <v>273</v>
      </c>
      <c r="H6" s="77">
        <v>45377</v>
      </c>
      <c r="I6" s="78">
        <v>190</v>
      </c>
      <c r="J6" s="77">
        <v>45377</v>
      </c>
      <c r="K6" s="78">
        <v>190</v>
      </c>
      <c r="L6" s="77">
        <v>45377</v>
      </c>
      <c r="M6" s="78">
        <v>190</v>
      </c>
      <c r="N6" s="77">
        <v>45517</v>
      </c>
      <c r="O6" s="78">
        <v>273</v>
      </c>
      <c r="P6" s="79"/>
      <c r="Q6" s="78"/>
      <c r="R6" s="79"/>
      <c r="S6" s="78"/>
      <c r="T6" s="79"/>
      <c r="U6" s="78"/>
      <c r="V6" s="79"/>
      <c r="W6" s="78"/>
    </row>
    <row r="7" spans="1:23" hidden="1" x14ac:dyDescent="0.25">
      <c r="A7" s="11"/>
      <c r="B7" s="6"/>
      <c r="C7" s="6"/>
      <c r="D7" s="26"/>
      <c r="E7" s="8"/>
      <c r="F7" s="22" t="s">
        <v>8</v>
      </c>
      <c r="G7" s="23" t="s">
        <v>9</v>
      </c>
      <c r="H7" s="22" t="s">
        <v>8</v>
      </c>
      <c r="I7" s="23" t="s">
        <v>9</v>
      </c>
      <c r="J7" s="22" t="s">
        <v>8</v>
      </c>
      <c r="K7" s="23" t="s">
        <v>9</v>
      </c>
      <c r="L7" s="22" t="s">
        <v>8</v>
      </c>
      <c r="M7" s="23" t="s">
        <v>9</v>
      </c>
      <c r="N7" s="22" t="s">
        <v>8</v>
      </c>
      <c r="O7" s="23" t="s">
        <v>9</v>
      </c>
      <c r="P7" s="22" t="s">
        <v>8</v>
      </c>
      <c r="Q7" s="23" t="s">
        <v>9</v>
      </c>
      <c r="R7" s="22" t="s">
        <v>8</v>
      </c>
      <c r="S7" s="23" t="s">
        <v>9</v>
      </c>
      <c r="T7" s="22" t="s">
        <v>8</v>
      </c>
      <c r="U7" s="23" t="s">
        <v>9</v>
      </c>
      <c r="V7" s="22" t="s">
        <v>8</v>
      </c>
      <c r="W7" s="23" t="s">
        <v>9</v>
      </c>
    </row>
    <row r="8" spans="1:23" s="43" customFormat="1" ht="14.4" hidden="1" thickBot="1" x14ac:dyDescent="0.3">
      <c r="A8" s="10"/>
      <c r="B8" s="13"/>
      <c r="C8" s="13"/>
      <c r="D8" s="28"/>
      <c r="E8" s="14"/>
      <c r="F8" s="80">
        <v>20</v>
      </c>
      <c r="G8" s="81" t="s">
        <v>298</v>
      </c>
      <c r="H8" s="80">
        <v>32</v>
      </c>
      <c r="I8" s="81" t="s">
        <v>297</v>
      </c>
      <c r="J8" s="80">
        <v>32</v>
      </c>
      <c r="K8" s="81" t="s">
        <v>297</v>
      </c>
      <c r="L8" s="80">
        <v>32</v>
      </c>
      <c r="M8" s="81" t="s">
        <v>297</v>
      </c>
      <c r="N8" s="80">
        <v>20</v>
      </c>
      <c r="O8" s="81" t="s">
        <v>298</v>
      </c>
      <c r="P8" s="80"/>
      <c r="Q8" s="81"/>
      <c r="R8" s="80"/>
      <c r="S8" s="81"/>
      <c r="T8" s="80"/>
      <c r="U8" s="81"/>
      <c r="V8" s="80"/>
      <c r="W8" s="81"/>
    </row>
    <row r="9" spans="1:23" ht="14.4" thickBot="1" x14ac:dyDescent="0.3">
      <c r="A9" s="15" t="s">
        <v>10</v>
      </c>
      <c r="B9" s="15" t="s">
        <v>11</v>
      </c>
      <c r="C9" s="16" t="s">
        <v>12</v>
      </c>
      <c r="D9" s="29" t="s">
        <v>13</v>
      </c>
      <c r="E9" s="17" t="s">
        <v>14</v>
      </c>
      <c r="F9" s="24" t="s">
        <v>15</v>
      </c>
      <c r="G9" s="17" t="s">
        <v>16</v>
      </c>
      <c r="H9" s="24" t="s">
        <v>15</v>
      </c>
      <c r="I9" s="17" t="s">
        <v>16</v>
      </c>
      <c r="J9" s="24" t="s">
        <v>15</v>
      </c>
      <c r="K9" s="17" t="s">
        <v>16</v>
      </c>
      <c r="L9" s="24" t="s">
        <v>15</v>
      </c>
      <c r="M9" s="17" t="s">
        <v>16</v>
      </c>
      <c r="N9" s="24" t="s">
        <v>15</v>
      </c>
      <c r="O9" s="17" t="s">
        <v>16</v>
      </c>
      <c r="P9" s="24" t="s">
        <v>15</v>
      </c>
      <c r="Q9" s="17" t="s">
        <v>16</v>
      </c>
      <c r="R9" s="24" t="s">
        <v>15</v>
      </c>
      <c r="S9" s="17" t="s">
        <v>16</v>
      </c>
      <c r="T9" s="24" t="s">
        <v>15</v>
      </c>
      <c r="U9" s="17" t="s">
        <v>16</v>
      </c>
      <c r="V9" s="24" t="s">
        <v>15</v>
      </c>
      <c r="W9" s="17" t="s">
        <v>16</v>
      </c>
    </row>
    <row r="10" spans="1:23" ht="14.4" customHeight="1" x14ac:dyDescent="0.25">
      <c r="A10" s="31"/>
      <c r="B10" s="31"/>
      <c r="C10" s="31"/>
      <c r="D10" s="59"/>
      <c r="E10" s="60"/>
      <c r="F10" s="32"/>
      <c r="G10" s="33"/>
      <c r="H10" s="88" t="s">
        <v>307</v>
      </c>
      <c r="I10" s="94"/>
      <c r="J10" s="82" t="s">
        <v>299</v>
      </c>
      <c r="K10" s="33"/>
      <c r="L10" s="32"/>
      <c r="M10" s="33"/>
      <c r="N10" s="32"/>
      <c r="O10" s="33"/>
      <c r="P10" s="32"/>
      <c r="Q10" s="33"/>
      <c r="R10" s="32" t="s">
        <v>296</v>
      </c>
      <c r="S10" s="33"/>
      <c r="T10" s="32"/>
      <c r="U10" s="33"/>
      <c r="V10" s="32"/>
      <c r="W10" s="33"/>
    </row>
    <row r="11" spans="1:23" ht="14.4" customHeight="1" x14ac:dyDescent="0.25">
      <c r="A11" s="31"/>
      <c r="B11" s="31"/>
      <c r="C11" s="31"/>
      <c r="D11" s="59"/>
      <c r="E11" s="60"/>
      <c r="F11" s="32"/>
      <c r="G11" s="33"/>
      <c r="H11" s="82"/>
      <c r="I11" s="33"/>
      <c r="J11" s="82"/>
      <c r="K11" s="83">
        <v>0.98</v>
      </c>
      <c r="L11" s="32"/>
      <c r="M11" s="33"/>
      <c r="N11" s="32"/>
      <c r="O11" s="33"/>
      <c r="P11" s="32"/>
      <c r="Q11" s="33"/>
      <c r="R11" s="32"/>
      <c r="S11" s="33"/>
      <c r="T11" s="32"/>
      <c r="U11" s="33"/>
      <c r="V11" s="32"/>
      <c r="W11" s="33"/>
    </row>
    <row r="12" spans="1:23" ht="14.4" customHeight="1" x14ac:dyDescent="0.25">
      <c r="A12" s="34" t="s">
        <v>19</v>
      </c>
      <c r="B12" s="34"/>
      <c r="C12" s="34" t="s">
        <v>221</v>
      </c>
      <c r="D12" s="61"/>
      <c r="E12" s="62"/>
      <c r="F12" s="35"/>
      <c r="G12" s="36"/>
      <c r="H12" s="35"/>
      <c r="I12" s="36"/>
      <c r="J12" s="35"/>
      <c r="K12" s="36"/>
      <c r="L12" s="35"/>
      <c r="M12" s="36"/>
      <c r="N12" s="35"/>
      <c r="O12" s="36"/>
      <c r="P12" s="35"/>
      <c r="Q12" s="36"/>
      <c r="R12" s="35"/>
      <c r="S12" s="36"/>
      <c r="T12" s="35"/>
      <c r="U12" s="36"/>
      <c r="V12" s="35"/>
      <c r="W12" s="36"/>
    </row>
    <row r="13" spans="1:23" ht="14.4" customHeight="1" x14ac:dyDescent="0.25">
      <c r="A13" s="31" t="s">
        <v>21</v>
      </c>
      <c r="B13" s="31"/>
      <c r="C13" s="31" t="s">
        <v>223</v>
      </c>
      <c r="D13" s="59">
        <v>1009</v>
      </c>
      <c r="E13" s="60" t="s">
        <v>278</v>
      </c>
      <c r="F13" s="32">
        <f>N13</f>
        <v>59</v>
      </c>
      <c r="G13" s="33">
        <f>$D13*F13</f>
        <v>59531</v>
      </c>
      <c r="H13" s="32">
        <f t="shared" ref="H13:H19" si="0">L13</f>
        <v>54</v>
      </c>
      <c r="I13" s="33">
        <f>$D13*H13</f>
        <v>54486</v>
      </c>
      <c r="J13" s="32">
        <f>$H13*$K$11</f>
        <v>52.92</v>
      </c>
      <c r="K13" s="33">
        <f>$D13*J13</f>
        <v>53396.28</v>
      </c>
      <c r="L13" s="32">
        <v>54</v>
      </c>
      <c r="M13" s="33">
        <f>$D13*L13</f>
        <v>54486</v>
      </c>
      <c r="N13" s="32">
        <v>59</v>
      </c>
      <c r="O13" s="33">
        <f>$D13*N13</f>
        <v>59531</v>
      </c>
      <c r="P13" s="32">
        <v>59.95</v>
      </c>
      <c r="Q13" s="33">
        <f>$D13*P13</f>
        <v>60489.55</v>
      </c>
      <c r="R13" s="32">
        <v>54.1</v>
      </c>
      <c r="S13" s="33">
        <f>$D13*R13</f>
        <v>54586.9</v>
      </c>
      <c r="T13" s="32">
        <v>59.9</v>
      </c>
      <c r="U13" s="33">
        <f>$D13*T13</f>
        <v>60439.1</v>
      </c>
      <c r="V13" s="32"/>
      <c r="W13" s="33">
        <f>$D13*V13</f>
        <v>0</v>
      </c>
    </row>
    <row r="14" spans="1:23" ht="14.4" customHeight="1" x14ac:dyDescent="0.25">
      <c r="A14" s="31" t="s">
        <v>22</v>
      </c>
      <c r="B14" s="31"/>
      <c r="C14" s="31" t="s">
        <v>224</v>
      </c>
      <c r="D14" s="59">
        <v>225</v>
      </c>
      <c r="E14" s="60" t="s">
        <v>278</v>
      </c>
      <c r="F14" s="32">
        <f t="shared" ref="F14:F37" si="1">N14</f>
        <v>59.9</v>
      </c>
      <c r="G14" s="33">
        <f>$D14*F14</f>
        <v>13477.5</v>
      </c>
      <c r="H14" s="32">
        <f t="shared" si="0"/>
        <v>56</v>
      </c>
      <c r="I14" s="33">
        <f>$D14*H14</f>
        <v>12600</v>
      </c>
      <c r="J14" s="32">
        <f t="shared" ref="J14:J37" si="2">$H14*$K$11</f>
        <v>54.879999999999995</v>
      </c>
      <c r="K14" s="33">
        <f>$D14*J14</f>
        <v>12347.999999999998</v>
      </c>
      <c r="L14" s="32">
        <v>56</v>
      </c>
      <c r="M14" s="33">
        <f>$D14*L14</f>
        <v>12600</v>
      </c>
      <c r="N14" s="32">
        <v>59.9</v>
      </c>
      <c r="O14" s="33">
        <f>$D14*N14</f>
        <v>13477.5</v>
      </c>
      <c r="P14" s="32">
        <v>60.95</v>
      </c>
      <c r="Q14" s="33">
        <f t="shared" ref="Q14" si="3">$D14*P14</f>
        <v>13713.75</v>
      </c>
      <c r="R14" s="32">
        <v>55.25</v>
      </c>
      <c r="S14" s="33">
        <f t="shared" ref="S14:S16" si="4">$D14*R14</f>
        <v>12431.25</v>
      </c>
      <c r="T14" s="32">
        <v>62.6</v>
      </c>
      <c r="U14" s="33">
        <f t="shared" ref="U14" si="5">$D14*T14</f>
        <v>14085</v>
      </c>
      <c r="V14" s="32"/>
      <c r="W14" s="33">
        <f>$D14*V14</f>
        <v>0</v>
      </c>
    </row>
    <row r="15" spans="1:23" ht="14.4" customHeight="1" x14ac:dyDescent="0.25">
      <c r="A15" s="31" t="s">
        <v>23</v>
      </c>
      <c r="B15" s="31"/>
      <c r="C15" s="31" t="s">
        <v>225</v>
      </c>
      <c r="D15" s="59">
        <v>26</v>
      </c>
      <c r="E15" s="60" t="s">
        <v>278</v>
      </c>
      <c r="F15" s="32">
        <f t="shared" si="1"/>
        <v>66</v>
      </c>
      <c r="G15" s="33">
        <f>$D15*F15</f>
        <v>1716</v>
      </c>
      <c r="H15" s="32">
        <f t="shared" si="0"/>
        <v>65</v>
      </c>
      <c r="I15" s="33">
        <f>$D15*H15</f>
        <v>1690</v>
      </c>
      <c r="J15" s="32">
        <f t="shared" si="2"/>
        <v>63.699999999999996</v>
      </c>
      <c r="K15" s="33">
        <f>$D15*J15</f>
        <v>1656.1999999999998</v>
      </c>
      <c r="L15" s="32">
        <v>65</v>
      </c>
      <c r="M15" s="33">
        <f>$D15*L15</f>
        <v>1690</v>
      </c>
      <c r="N15" s="32">
        <v>66</v>
      </c>
      <c r="O15" s="33">
        <f>$D15*N15</f>
        <v>1716</v>
      </c>
      <c r="P15" s="32">
        <v>85.5</v>
      </c>
      <c r="Q15" s="33">
        <f t="shared" ref="Q15" si="6">$D15*P15</f>
        <v>2223</v>
      </c>
      <c r="R15" s="32">
        <v>77.5</v>
      </c>
      <c r="S15" s="33">
        <f t="shared" si="4"/>
        <v>2015</v>
      </c>
      <c r="T15" s="32">
        <v>77.8</v>
      </c>
      <c r="U15" s="33">
        <f t="shared" ref="U15" si="7">$D15*T15</f>
        <v>2022.8</v>
      </c>
      <c r="V15" s="32"/>
      <c r="W15" s="33">
        <f>$D15*V15</f>
        <v>0</v>
      </c>
    </row>
    <row r="16" spans="1:23" ht="14.4" customHeight="1" x14ac:dyDescent="0.25">
      <c r="A16" s="31" t="s">
        <v>24</v>
      </c>
      <c r="B16" s="31"/>
      <c r="C16" s="31" t="s">
        <v>226</v>
      </c>
      <c r="D16" s="59">
        <v>12</v>
      </c>
      <c r="E16" s="60" t="s">
        <v>278</v>
      </c>
      <c r="F16" s="32">
        <f t="shared" si="1"/>
        <v>69</v>
      </c>
      <c r="G16" s="33">
        <f>$D16*F16</f>
        <v>828</v>
      </c>
      <c r="H16" s="32">
        <f t="shared" si="0"/>
        <v>65</v>
      </c>
      <c r="I16" s="33">
        <f>$D16*H16</f>
        <v>780</v>
      </c>
      <c r="J16" s="32">
        <f t="shared" si="2"/>
        <v>63.699999999999996</v>
      </c>
      <c r="K16" s="33">
        <f>$D16*J16</f>
        <v>764.4</v>
      </c>
      <c r="L16" s="32">
        <v>65</v>
      </c>
      <c r="M16" s="33">
        <f>$D16*L16</f>
        <v>780</v>
      </c>
      <c r="N16" s="32">
        <v>69</v>
      </c>
      <c r="O16" s="33">
        <f>$D16*N16</f>
        <v>828</v>
      </c>
      <c r="P16" s="32">
        <v>95</v>
      </c>
      <c r="Q16" s="33">
        <f t="shared" ref="Q16" si="8">$D16*P16</f>
        <v>1140</v>
      </c>
      <c r="R16" s="32">
        <v>79.900000000000006</v>
      </c>
      <c r="S16" s="33">
        <f t="shared" si="4"/>
        <v>958.80000000000007</v>
      </c>
      <c r="T16" s="32">
        <v>97.2</v>
      </c>
      <c r="U16" s="33">
        <f t="shared" ref="U16" si="9">$D16*T16</f>
        <v>1166.4000000000001</v>
      </c>
      <c r="V16" s="32"/>
      <c r="W16" s="33">
        <f>$D16*V16</f>
        <v>0</v>
      </c>
    </row>
    <row r="17" spans="1:23" ht="14.4" customHeight="1" x14ac:dyDescent="0.25">
      <c r="A17" s="31" t="s">
        <v>25</v>
      </c>
      <c r="B17" s="31" t="s">
        <v>220</v>
      </c>
      <c r="C17" s="31" t="s">
        <v>227</v>
      </c>
      <c r="D17" s="59">
        <v>10</v>
      </c>
      <c r="E17" s="60" t="s">
        <v>278</v>
      </c>
      <c r="F17" s="32">
        <f t="shared" si="1"/>
        <v>19.75</v>
      </c>
      <c r="G17" s="33" t="s">
        <v>285</v>
      </c>
      <c r="H17" s="32">
        <f t="shared" si="0"/>
        <v>6.95</v>
      </c>
      <c r="I17" s="33" t="s">
        <v>285</v>
      </c>
      <c r="J17" s="32">
        <f t="shared" si="2"/>
        <v>6.8109999999999999</v>
      </c>
      <c r="K17" s="33" t="s">
        <v>285</v>
      </c>
      <c r="L17" s="32">
        <v>6.95</v>
      </c>
      <c r="M17" s="33" t="s">
        <v>285</v>
      </c>
      <c r="N17" s="32">
        <v>19.75</v>
      </c>
      <c r="O17" s="33" t="s">
        <v>285</v>
      </c>
      <c r="P17" s="32">
        <v>5</v>
      </c>
      <c r="Q17" s="33" t="s">
        <v>285</v>
      </c>
      <c r="R17" s="32">
        <v>18</v>
      </c>
      <c r="S17" s="33" t="s">
        <v>285</v>
      </c>
      <c r="T17" s="32">
        <v>112.9</v>
      </c>
      <c r="U17" s="33" t="s">
        <v>285</v>
      </c>
      <c r="V17" s="32"/>
      <c r="W17" s="37" t="s">
        <v>285</v>
      </c>
    </row>
    <row r="18" spans="1:23" ht="14.4" customHeight="1" x14ac:dyDescent="0.25">
      <c r="A18" s="31" t="s">
        <v>26</v>
      </c>
      <c r="B18" s="31" t="s">
        <v>220</v>
      </c>
      <c r="C18" s="31" t="s">
        <v>228</v>
      </c>
      <c r="D18" s="59">
        <v>1</v>
      </c>
      <c r="E18" s="60" t="s">
        <v>278</v>
      </c>
      <c r="F18" s="32">
        <f t="shared" si="1"/>
        <v>29</v>
      </c>
      <c r="G18" s="33" t="s">
        <v>285</v>
      </c>
      <c r="H18" s="32">
        <f t="shared" si="0"/>
        <v>2</v>
      </c>
      <c r="I18" s="33" t="s">
        <v>285</v>
      </c>
      <c r="J18" s="32">
        <f t="shared" si="2"/>
        <v>1.96</v>
      </c>
      <c r="K18" s="33" t="s">
        <v>285</v>
      </c>
      <c r="L18" s="32">
        <v>2</v>
      </c>
      <c r="M18" s="33" t="s">
        <v>285</v>
      </c>
      <c r="N18" s="32">
        <v>29</v>
      </c>
      <c r="O18" s="33" t="s">
        <v>285</v>
      </c>
      <c r="P18" s="32">
        <v>6.5</v>
      </c>
      <c r="Q18" s="33" t="s">
        <v>285</v>
      </c>
      <c r="R18" s="32">
        <v>46.2</v>
      </c>
      <c r="S18" s="33" t="s">
        <v>285</v>
      </c>
      <c r="T18" s="32">
        <v>102.7</v>
      </c>
      <c r="U18" s="33" t="s">
        <v>285</v>
      </c>
      <c r="V18" s="32"/>
      <c r="W18" s="37" t="s">
        <v>285</v>
      </c>
    </row>
    <row r="19" spans="1:23" ht="14.4" customHeight="1" x14ac:dyDescent="0.25">
      <c r="A19" s="31" t="s">
        <v>27</v>
      </c>
      <c r="B19" s="31"/>
      <c r="C19" s="31" t="s">
        <v>229</v>
      </c>
      <c r="D19" s="59">
        <v>120</v>
      </c>
      <c r="E19" s="60" t="s">
        <v>279</v>
      </c>
      <c r="F19" s="32">
        <f t="shared" si="1"/>
        <v>5.95</v>
      </c>
      <c r="G19" s="33">
        <f>$D19*F19</f>
        <v>714</v>
      </c>
      <c r="H19" s="32">
        <f t="shared" si="0"/>
        <v>7.5</v>
      </c>
      <c r="I19" s="33">
        <f>$D19*H19</f>
        <v>900</v>
      </c>
      <c r="J19" s="32">
        <f t="shared" si="2"/>
        <v>7.35</v>
      </c>
      <c r="K19" s="33">
        <f>$D19*J19</f>
        <v>882</v>
      </c>
      <c r="L19" s="32">
        <v>7.5</v>
      </c>
      <c r="M19" s="33">
        <f>$D19*L19</f>
        <v>900</v>
      </c>
      <c r="N19" s="32">
        <v>5.95</v>
      </c>
      <c r="O19" s="33">
        <f>$D19*N19</f>
        <v>714</v>
      </c>
      <c r="P19" s="32">
        <v>28.2</v>
      </c>
      <c r="Q19" s="33">
        <f t="shared" ref="Q19" si="10">$D19*P19</f>
        <v>3384</v>
      </c>
      <c r="R19" s="32">
        <v>11.5</v>
      </c>
      <c r="S19" s="33">
        <f t="shared" ref="S19" si="11">$D19*R19</f>
        <v>1380</v>
      </c>
      <c r="T19" s="32">
        <v>29.3</v>
      </c>
      <c r="U19" s="33">
        <f t="shared" ref="U19" si="12">$D19*T19</f>
        <v>3516</v>
      </c>
      <c r="V19" s="32"/>
      <c r="W19" s="33">
        <f>$D19*V19</f>
        <v>0</v>
      </c>
    </row>
    <row r="20" spans="1:23" ht="14.4" customHeight="1" x14ac:dyDescent="0.25">
      <c r="A20" s="31" t="s">
        <v>28</v>
      </c>
      <c r="B20" s="31" t="s">
        <v>220</v>
      </c>
      <c r="C20" s="31" t="s">
        <v>230</v>
      </c>
      <c r="D20" s="59">
        <v>1</v>
      </c>
      <c r="E20" s="60" t="s">
        <v>278</v>
      </c>
      <c r="F20" s="32">
        <f t="shared" si="1"/>
        <v>19.7</v>
      </c>
      <c r="G20" s="33" t="s">
        <v>285</v>
      </c>
      <c r="H20" s="87">
        <v>12</v>
      </c>
      <c r="I20" s="33" t="s">
        <v>285</v>
      </c>
      <c r="J20" s="32">
        <f t="shared" si="2"/>
        <v>11.76</v>
      </c>
      <c r="K20" s="33" t="s">
        <v>285</v>
      </c>
      <c r="L20" s="32">
        <v>22</v>
      </c>
      <c r="M20" s="33" t="s">
        <v>285</v>
      </c>
      <c r="N20" s="32">
        <v>19.7</v>
      </c>
      <c r="O20" s="33" t="s">
        <v>285</v>
      </c>
      <c r="P20" s="32">
        <v>14.5</v>
      </c>
      <c r="Q20" s="33" t="s">
        <v>285</v>
      </c>
      <c r="R20" s="32">
        <v>18.5</v>
      </c>
      <c r="S20" s="33" t="s">
        <v>285</v>
      </c>
      <c r="T20" s="32">
        <v>25.5</v>
      </c>
      <c r="U20" s="33" t="s">
        <v>285</v>
      </c>
      <c r="V20" s="32"/>
      <c r="W20" s="37" t="s">
        <v>285</v>
      </c>
    </row>
    <row r="21" spans="1:23" ht="14.4" customHeight="1" x14ac:dyDescent="0.25">
      <c r="A21" s="31" t="s">
        <v>29</v>
      </c>
      <c r="B21" s="31" t="s">
        <v>220</v>
      </c>
      <c r="C21" s="31" t="s">
        <v>231</v>
      </c>
      <c r="D21" s="59">
        <v>1</v>
      </c>
      <c r="E21" s="60" t="s">
        <v>278</v>
      </c>
      <c r="F21" s="32">
        <f t="shared" si="1"/>
        <v>4.5</v>
      </c>
      <c r="G21" s="33" t="s">
        <v>285</v>
      </c>
      <c r="H21" s="87">
        <v>5</v>
      </c>
      <c r="I21" s="33" t="s">
        <v>285</v>
      </c>
      <c r="J21" s="32">
        <f t="shared" si="2"/>
        <v>4.9000000000000004</v>
      </c>
      <c r="K21" s="33" t="s">
        <v>285</v>
      </c>
      <c r="L21" s="32">
        <v>6</v>
      </c>
      <c r="M21" s="33" t="s">
        <v>285</v>
      </c>
      <c r="N21" s="32">
        <v>4.5</v>
      </c>
      <c r="O21" s="33" t="s">
        <v>285</v>
      </c>
      <c r="P21" s="32">
        <v>4</v>
      </c>
      <c r="Q21" s="33" t="s">
        <v>285</v>
      </c>
      <c r="R21" s="32">
        <v>143</v>
      </c>
      <c r="S21" s="33" t="s">
        <v>285</v>
      </c>
      <c r="T21" s="32">
        <v>10.7</v>
      </c>
      <c r="U21" s="33" t="s">
        <v>285</v>
      </c>
      <c r="V21" s="32"/>
      <c r="W21" s="37" t="s">
        <v>285</v>
      </c>
    </row>
    <row r="22" spans="1:23" ht="14.4" customHeight="1" x14ac:dyDescent="0.25">
      <c r="A22" s="31" t="s">
        <v>30</v>
      </c>
      <c r="B22" s="31" t="s">
        <v>220</v>
      </c>
      <c r="C22" s="31" t="s">
        <v>232</v>
      </c>
      <c r="D22" s="59">
        <v>1</v>
      </c>
      <c r="E22" s="60" t="s">
        <v>278</v>
      </c>
      <c r="F22" s="32">
        <f t="shared" si="1"/>
        <v>4.5</v>
      </c>
      <c r="G22" s="33" t="s">
        <v>285</v>
      </c>
      <c r="H22" s="87">
        <v>10</v>
      </c>
      <c r="I22" s="33" t="s">
        <v>285</v>
      </c>
      <c r="J22" s="32">
        <f t="shared" si="2"/>
        <v>9.8000000000000007</v>
      </c>
      <c r="K22" s="33" t="s">
        <v>285</v>
      </c>
      <c r="L22" s="32">
        <v>15</v>
      </c>
      <c r="M22" s="33" t="s">
        <v>285</v>
      </c>
      <c r="N22" s="32">
        <v>4.5</v>
      </c>
      <c r="O22" s="33" t="s">
        <v>285</v>
      </c>
      <c r="P22" s="32">
        <v>4.25</v>
      </c>
      <c r="Q22" s="33" t="s">
        <v>285</v>
      </c>
      <c r="R22" s="32">
        <v>27.2</v>
      </c>
      <c r="S22" s="33" t="s">
        <v>285</v>
      </c>
      <c r="T22" s="32">
        <v>62.1</v>
      </c>
      <c r="U22" s="33" t="s">
        <v>285</v>
      </c>
      <c r="V22" s="32"/>
      <c r="W22" s="37" t="s">
        <v>285</v>
      </c>
    </row>
    <row r="23" spans="1:23" ht="14.4" customHeight="1" x14ac:dyDescent="0.25">
      <c r="A23" s="31" t="s">
        <v>31</v>
      </c>
      <c r="B23" s="31"/>
      <c r="C23" s="31" t="s">
        <v>233</v>
      </c>
      <c r="D23" s="59">
        <v>48</v>
      </c>
      <c r="E23" s="60" t="s">
        <v>280</v>
      </c>
      <c r="F23" s="32">
        <f t="shared" si="1"/>
        <v>275</v>
      </c>
      <c r="G23" s="33">
        <f t="shared" ref="G23:G28" si="13">$D23*F23</f>
        <v>13200</v>
      </c>
      <c r="H23" s="87">
        <v>156</v>
      </c>
      <c r="I23" s="33">
        <f t="shared" ref="I23:I28" si="14">$D23*H23</f>
        <v>7488</v>
      </c>
      <c r="J23" s="32">
        <f t="shared" si="2"/>
        <v>152.88</v>
      </c>
      <c r="K23" s="33">
        <f t="shared" ref="K23:K28" si="15">$D23*J23</f>
        <v>7338.24</v>
      </c>
      <c r="L23" s="32">
        <v>73</v>
      </c>
      <c r="M23" s="33">
        <f t="shared" ref="M23:M28" si="16">$D23*L23</f>
        <v>3504</v>
      </c>
      <c r="N23" s="32">
        <v>275</v>
      </c>
      <c r="O23" s="33">
        <f t="shared" ref="O23:O28" si="17">$D23*N23</f>
        <v>13200</v>
      </c>
      <c r="P23" s="32">
        <v>272.10000000000002</v>
      </c>
      <c r="Q23" s="33">
        <f t="shared" ref="Q23" si="18">$D23*P23</f>
        <v>13060.800000000001</v>
      </c>
      <c r="R23" s="32">
        <v>420</v>
      </c>
      <c r="S23" s="33">
        <f t="shared" ref="S23:S28" si="19">$D23*R23</f>
        <v>20160</v>
      </c>
      <c r="T23" s="32">
        <v>392.7</v>
      </c>
      <c r="U23" s="33">
        <f t="shared" ref="U23" si="20">$D23*T23</f>
        <v>18849.599999999999</v>
      </c>
      <c r="V23" s="32"/>
      <c r="W23" s="33">
        <f t="shared" ref="W23:W28" si="21">$D23*V23</f>
        <v>0</v>
      </c>
    </row>
    <row r="24" spans="1:23" ht="14.4" customHeight="1" x14ac:dyDescent="0.25">
      <c r="A24" s="31" t="s">
        <v>32</v>
      </c>
      <c r="B24" s="31"/>
      <c r="C24" s="31" t="s">
        <v>234</v>
      </c>
      <c r="D24" s="59">
        <v>15</v>
      </c>
      <c r="E24" s="60" t="s">
        <v>280</v>
      </c>
      <c r="F24" s="32">
        <f t="shared" si="1"/>
        <v>79</v>
      </c>
      <c r="G24" s="33">
        <f t="shared" si="13"/>
        <v>1185</v>
      </c>
      <c r="H24" s="32">
        <v>62</v>
      </c>
      <c r="I24" s="33">
        <f t="shared" si="14"/>
        <v>930</v>
      </c>
      <c r="J24" s="32">
        <f t="shared" si="2"/>
        <v>60.76</v>
      </c>
      <c r="K24" s="33">
        <f t="shared" si="15"/>
        <v>911.4</v>
      </c>
      <c r="L24" s="32">
        <v>62</v>
      </c>
      <c r="M24" s="33">
        <f t="shared" si="16"/>
        <v>930</v>
      </c>
      <c r="N24" s="32">
        <v>79</v>
      </c>
      <c r="O24" s="33">
        <f t="shared" si="17"/>
        <v>1185</v>
      </c>
      <c r="P24" s="32">
        <v>65</v>
      </c>
      <c r="Q24" s="33">
        <f t="shared" ref="Q24" si="22">$D24*P24</f>
        <v>975</v>
      </c>
      <c r="R24" s="32">
        <v>102</v>
      </c>
      <c r="S24" s="33">
        <f t="shared" si="19"/>
        <v>1530</v>
      </c>
      <c r="T24" s="32">
        <v>79.8</v>
      </c>
      <c r="U24" s="33">
        <f t="shared" ref="U24" si="23">$D24*T24</f>
        <v>1197</v>
      </c>
      <c r="V24" s="32"/>
      <c r="W24" s="33">
        <f t="shared" si="21"/>
        <v>0</v>
      </c>
    </row>
    <row r="25" spans="1:23" ht="14.4" customHeight="1" x14ac:dyDescent="0.25">
      <c r="A25" s="31" t="s">
        <v>33</v>
      </c>
      <c r="B25" s="31"/>
      <c r="C25" s="31" t="s">
        <v>235</v>
      </c>
      <c r="D25" s="59">
        <v>1</v>
      </c>
      <c r="E25" s="60" t="s">
        <v>280</v>
      </c>
      <c r="F25" s="32">
        <f t="shared" si="1"/>
        <v>84</v>
      </c>
      <c r="G25" s="33">
        <f t="shared" si="13"/>
        <v>84</v>
      </c>
      <c r="H25" s="32">
        <v>65</v>
      </c>
      <c r="I25" s="33">
        <f t="shared" si="14"/>
        <v>65</v>
      </c>
      <c r="J25" s="32">
        <f t="shared" si="2"/>
        <v>63.699999999999996</v>
      </c>
      <c r="K25" s="33">
        <f t="shared" si="15"/>
        <v>63.699999999999996</v>
      </c>
      <c r="L25" s="32">
        <v>65</v>
      </c>
      <c r="M25" s="33">
        <f t="shared" si="16"/>
        <v>65</v>
      </c>
      <c r="N25" s="32">
        <v>84</v>
      </c>
      <c r="O25" s="33">
        <f t="shared" si="17"/>
        <v>84</v>
      </c>
      <c r="P25" s="32">
        <v>65</v>
      </c>
      <c r="Q25" s="33">
        <f t="shared" ref="Q25" si="24">$D25*P25</f>
        <v>65</v>
      </c>
      <c r="R25" s="32">
        <v>125</v>
      </c>
      <c r="S25" s="33">
        <f t="shared" si="19"/>
        <v>125</v>
      </c>
      <c r="T25" s="32">
        <v>126.6</v>
      </c>
      <c r="U25" s="33">
        <f t="shared" ref="U25" si="25">$D25*T25</f>
        <v>126.6</v>
      </c>
      <c r="V25" s="32"/>
      <c r="W25" s="33">
        <f t="shared" si="21"/>
        <v>0</v>
      </c>
    </row>
    <row r="26" spans="1:23" ht="14.4" customHeight="1" x14ac:dyDescent="0.25">
      <c r="A26" s="31" t="s">
        <v>34</v>
      </c>
      <c r="B26" s="31"/>
      <c r="C26" s="31" t="s">
        <v>236</v>
      </c>
      <c r="D26" s="59">
        <v>3</v>
      </c>
      <c r="E26" s="60" t="s">
        <v>280</v>
      </c>
      <c r="F26" s="32">
        <f t="shared" si="1"/>
        <v>120</v>
      </c>
      <c r="G26" s="33">
        <f t="shared" si="13"/>
        <v>360</v>
      </c>
      <c r="H26" s="32">
        <f>L26</f>
        <v>75</v>
      </c>
      <c r="I26" s="33">
        <f t="shared" si="14"/>
        <v>225</v>
      </c>
      <c r="J26" s="32">
        <f t="shared" si="2"/>
        <v>73.5</v>
      </c>
      <c r="K26" s="33">
        <f t="shared" si="15"/>
        <v>220.5</v>
      </c>
      <c r="L26" s="32">
        <v>75</v>
      </c>
      <c r="M26" s="33">
        <f t="shared" si="16"/>
        <v>225</v>
      </c>
      <c r="N26" s="32">
        <v>120</v>
      </c>
      <c r="O26" s="33">
        <f t="shared" si="17"/>
        <v>360</v>
      </c>
      <c r="P26" s="32">
        <v>90</v>
      </c>
      <c r="Q26" s="33">
        <f t="shared" ref="Q26" si="26">$D26*P26</f>
        <v>270</v>
      </c>
      <c r="R26" s="32">
        <v>185</v>
      </c>
      <c r="S26" s="33">
        <f t="shared" si="19"/>
        <v>555</v>
      </c>
      <c r="T26" s="32">
        <v>142.80000000000001</v>
      </c>
      <c r="U26" s="33">
        <f t="shared" ref="U26" si="27">$D26*T26</f>
        <v>428.40000000000003</v>
      </c>
      <c r="V26" s="32"/>
      <c r="W26" s="33">
        <f t="shared" si="21"/>
        <v>0</v>
      </c>
    </row>
    <row r="27" spans="1:23" ht="14.4" customHeight="1" x14ac:dyDescent="0.25">
      <c r="A27" s="31" t="s">
        <v>35</v>
      </c>
      <c r="B27" s="31"/>
      <c r="C27" s="31" t="s">
        <v>237</v>
      </c>
      <c r="D27" s="59">
        <v>53</v>
      </c>
      <c r="E27" s="60" t="s">
        <v>280</v>
      </c>
      <c r="F27" s="32">
        <f t="shared" si="1"/>
        <v>117</v>
      </c>
      <c r="G27" s="33">
        <f t="shared" si="13"/>
        <v>6201</v>
      </c>
      <c r="H27" s="87">
        <v>150</v>
      </c>
      <c r="I27" s="33">
        <f t="shared" si="14"/>
        <v>7950</v>
      </c>
      <c r="J27" s="32">
        <f t="shared" si="2"/>
        <v>147</v>
      </c>
      <c r="K27" s="33">
        <f t="shared" si="15"/>
        <v>7791</v>
      </c>
      <c r="L27" s="32">
        <v>250</v>
      </c>
      <c r="M27" s="33">
        <f t="shared" si="16"/>
        <v>13250</v>
      </c>
      <c r="N27" s="32">
        <v>117</v>
      </c>
      <c r="O27" s="33">
        <f t="shared" si="17"/>
        <v>6201</v>
      </c>
      <c r="P27" s="32">
        <v>295</v>
      </c>
      <c r="Q27" s="33">
        <f t="shared" ref="Q27" si="28">$D27*P27</f>
        <v>15635</v>
      </c>
      <c r="R27" s="32">
        <v>502</v>
      </c>
      <c r="S27" s="33">
        <f t="shared" si="19"/>
        <v>26606</v>
      </c>
      <c r="T27" s="32">
        <v>230.3</v>
      </c>
      <c r="U27" s="33">
        <f t="shared" ref="U27" si="29">$D27*T27</f>
        <v>12205.900000000001</v>
      </c>
      <c r="V27" s="32"/>
      <c r="W27" s="33">
        <f t="shared" si="21"/>
        <v>0</v>
      </c>
    </row>
    <row r="28" spans="1:23" ht="14.4" customHeight="1" x14ac:dyDescent="0.25">
      <c r="A28" s="31" t="s">
        <v>36</v>
      </c>
      <c r="B28" s="31"/>
      <c r="C28" s="31" t="s">
        <v>238</v>
      </c>
      <c r="D28" s="59">
        <v>16</v>
      </c>
      <c r="E28" s="60" t="s">
        <v>279</v>
      </c>
      <c r="F28" s="32">
        <f t="shared" si="1"/>
        <v>20</v>
      </c>
      <c r="G28" s="33">
        <f t="shared" si="13"/>
        <v>320</v>
      </c>
      <c r="H28" s="32">
        <f>L28</f>
        <v>20</v>
      </c>
      <c r="I28" s="33">
        <f t="shared" si="14"/>
        <v>320</v>
      </c>
      <c r="J28" s="32">
        <f t="shared" si="2"/>
        <v>19.600000000000001</v>
      </c>
      <c r="K28" s="33">
        <f t="shared" si="15"/>
        <v>313.60000000000002</v>
      </c>
      <c r="L28" s="32">
        <v>20</v>
      </c>
      <c r="M28" s="33">
        <f t="shared" si="16"/>
        <v>320</v>
      </c>
      <c r="N28" s="32">
        <v>20</v>
      </c>
      <c r="O28" s="33">
        <f t="shared" si="17"/>
        <v>320</v>
      </c>
      <c r="P28" s="32">
        <v>28.9</v>
      </c>
      <c r="Q28" s="33">
        <f t="shared" ref="Q28" si="30">$D28*P28</f>
        <v>462.4</v>
      </c>
      <c r="R28" s="32">
        <v>38.5</v>
      </c>
      <c r="S28" s="33">
        <f t="shared" si="19"/>
        <v>616</v>
      </c>
      <c r="T28" s="32">
        <v>31.9</v>
      </c>
      <c r="U28" s="33">
        <f t="shared" ref="U28" si="31">$D28*T28</f>
        <v>510.4</v>
      </c>
      <c r="V28" s="32"/>
      <c r="W28" s="33">
        <f t="shared" si="21"/>
        <v>0</v>
      </c>
    </row>
    <row r="29" spans="1:23" ht="14.4" customHeight="1" x14ac:dyDescent="0.25">
      <c r="A29" s="31" t="s">
        <v>37</v>
      </c>
      <c r="B29" s="31" t="s">
        <v>220</v>
      </c>
      <c r="C29" s="31" t="s">
        <v>239</v>
      </c>
      <c r="D29" s="59">
        <v>1</v>
      </c>
      <c r="E29" s="60" t="s">
        <v>280</v>
      </c>
      <c r="F29" s="32">
        <f t="shared" si="1"/>
        <v>7</v>
      </c>
      <c r="G29" s="33" t="s">
        <v>285</v>
      </c>
      <c r="H29" s="87">
        <v>3</v>
      </c>
      <c r="I29" s="33" t="s">
        <v>285</v>
      </c>
      <c r="J29" s="32">
        <f t="shared" si="2"/>
        <v>2.94</v>
      </c>
      <c r="K29" s="33" t="s">
        <v>285</v>
      </c>
      <c r="L29" s="32">
        <v>10</v>
      </c>
      <c r="M29" s="33" t="s">
        <v>285</v>
      </c>
      <c r="N29" s="32">
        <v>7</v>
      </c>
      <c r="O29" s="33" t="s">
        <v>285</v>
      </c>
      <c r="P29" s="32">
        <v>10</v>
      </c>
      <c r="Q29" s="33" t="s">
        <v>285</v>
      </c>
      <c r="R29" s="32">
        <v>12</v>
      </c>
      <c r="S29" s="33" t="s">
        <v>285</v>
      </c>
      <c r="T29" s="32">
        <v>7.8</v>
      </c>
      <c r="U29" s="33" t="s">
        <v>285</v>
      </c>
      <c r="V29" s="32"/>
      <c r="W29" s="37" t="s">
        <v>285</v>
      </c>
    </row>
    <row r="30" spans="1:23" ht="14.4" customHeight="1" x14ac:dyDescent="0.25">
      <c r="A30" s="31" t="s">
        <v>38</v>
      </c>
      <c r="B30" s="31" t="s">
        <v>220</v>
      </c>
      <c r="C30" s="31" t="s">
        <v>240</v>
      </c>
      <c r="D30" s="59">
        <v>1</v>
      </c>
      <c r="E30" s="60" t="s">
        <v>280</v>
      </c>
      <c r="F30" s="32">
        <f t="shared" si="1"/>
        <v>9</v>
      </c>
      <c r="G30" s="33" t="s">
        <v>285</v>
      </c>
      <c r="H30" s="87">
        <v>5</v>
      </c>
      <c r="I30" s="33" t="s">
        <v>285</v>
      </c>
      <c r="J30" s="32">
        <f t="shared" si="2"/>
        <v>4.9000000000000004</v>
      </c>
      <c r="K30" s="33" t="s">
        <v>285</v>
      </c>
      <c r="L30" s="32">
        <v>15</v>
      </c>
      <c r="M30" s="33" t="s">
        <v>285</v>
      </c>
      <c r="N30" s="32">
        <v>9</v>
      </c>
      <c r="O30" s="33" t="s">
        <v>285</v>
      </c>
      <c r="P30" s="32">
        <v>25</v>
      </c>
      <c r="Q30" s="33" t="s">
        <v>285</v>
      </c>
      <c r="R30" s="32">
        <v>20</v>
      </c>
      <c r="S30" s="33" t="s">
        <v>285</v>
      </c>
      <c r="T30" s="32">
        <v>9</v>
      </c>
      <c r="U30" s="33" t="s">
        <v>285</v>
      </c>
      <c r="V30" s="32"/>
      <c r="W30" s="37" t="s">
        <v>285</v>
      </c>
    </row>
    <row r="31" spans="1:23" ht="14.4" customHeight="1" x14ac:dyDescent="0.25">
      <c r="A31" s="31" t="s">
        <v>39</v>
      </c>
      <c r="B31" s="31" t="s">
        <v>220</v>
      </c>
      <c r="C31" s="31" t="s">
        <v>241</v>
      </c>
      <c r="D31" s="59">
        <v>1</v>
      </c>
      <c r="E31" s="60" t="s">
        <v>280</v>
      </c>
      <c r="F31" s="32">
        <f t="shared" si="1"/>
        <v>15</v>
      </c>
      <c r="G31" s="33" t="s">
        <v>285</v>
      </c>
      <c r="H31" s="87">
        <v>5</v>
      </c>
      <c r="I31" s="33" t="s">
        <v>285</v>
      </c>
      <c r="J31" s="32">
        <f t="shared" si="2"/>
        <v>4.9000000000000004</v>
      </c>
      <c r="K31" s="33" t="s">
        <v>285</v>
      </c>
      <c r="L31" s="32">
        <v>10</v>
      </c>
      <c r="M31" s="33" t="s">
        <v>285</v>
      </c>
      <c r="N31" s="32">
        <v>15</v>
      </c>
      <c r="O31" s="33" t="s">
        <v>285</v>
      </c>
      <c r="P31" s="32">
        <v>10</v>
      </c>
      <c r="Q31" s="33" t="s">
        <v>285</v>
      </c>
      <c r="R31" s="32">
        <v>25</v>
      </c>
      <c r="S31" s="33" t="s">
        <v>285</v>
      </c>
      <c r="T31" s="32">
        <v>4.5999999999999996</v>
      </c>
      <c r="U31" s="33" t="s">
        <v>285</v>
      </c>
      <c r="V31" s="32"/>
      <c r="W31" s="37" t="s">
        <v>285</v>
      </c>
    </row>
    <row r="32" spans="1:23" ht="14.4" customHeight="1" x14ac:dyDescent="0.25">
      <c r="A32" s="31" t="s">
        <v>40</v>
      </c>
      <c r="B32" s="31" t="s">
        <v>220</v>
      </c>
      <c r="C32" s="31" t="s">
        <v>242</v>
      </c>
      <c r="D32" s="59">
        <v>1</v>
      </c>
      <c r="E32" s="60" t="s">
        <v>280</v>
      </c>
      <c r="F32" s="32">
        <f t="shared" si="1"/>
        <v>17</v>
      </c>
      <c r="G32" s="33" t="s">
        <v>285</v>
      </c>
      <c r="H32" s="87">
        <v>7</v>
      </c>
      <c r="I32" s="33" t="s">
        <v>285</v>
      </c>
      <c r="J32" s="32">
        <f t="shared" si="2"/>
        <v>6.8599999999999994</v>
      </c>
      <c r="K32" s="33" t="s">
        <v>285</v>
      </c>
      <c r="L32" s="32">
        <v>15</v>
      </c>
      <c r="M32" s="33" t="s">
        <v>285</v>
      </c>
      <c r="N32" s="32">
        <v>17</v>
      </c>
      <c r="O32" s="33" t="s">
        <v>285</v>
      </c>
      <c r="P32" s="32">
        <v>25</v>
      </c>
      <c r="Q32" s="33" t="s">
        <v>285</v>
      </c>
      <c r="R32" s="32">
        <v>35</v>
      </c>
      <c r="S32" s="33" t="s">
        <v>285</v>
      </c>
      <c r="T32" s="32">
        <v>6.8</v>
      </c>
      <c r="U32" s="33" t="s">
        <v>285</v>
      </c>
      <c r="V32" s="32"/>
      <c r="W32" s="37" t="s">
        <v>285</v>
      </c>
    </row>
    <row r="33" spans="1:23" ht="14.4" customHeight="1" x14ac:dyDescent="0.25">
      <c r="A33" s="31" t="s">
        <v>41</v>
      </c>
      <c r="B33" s="31" t="s">
        <v>220</v>
      </c>
      <c r="C33" s="31" t="s">
        <v>243</v>
      </c>
      <c r="D33" s="59">
        <v>1</v>
      </c>
      <c r="E33" s="60" t="s">
        <v>280</v>
      </c>
      <c r="F33" s="32">
        <f t="shared" si="1"/>
        <v>6</v>
      </c>
      <c r="G33" s="33" t="s">
        <v>285</v>
      </c>
      <c r="H33" s="87">
        <v>8</v>
      </c>
      <c r="I33" s="33" t="s">
        <v>285</v>
      </c>
      <c r="J33" s="32">
        <f t="shared" si="2"/>
        <v>7.84</v>
      </c>
      <c r="K33" s="33" t="s">
        <v>285</v>
      </c>
      <c r="L33" s="32">
        <v>20</v>
      </c>
      <c r="M33" s="33" t="s">
        <v>285</v>
      </c>
      <c r="N33" s="32">
        <v>6</v>
      </c>
      <c r="O33" s="33" t="s">
        <v>285</v>
      </c>
      <c r="P33" s="32">
        <v>3.5</v>
      </c>
      <c r="Q33" s="33" t="s">
        <v>285</v>
      </c>
      <c r="R33" s="32">
        <v>8</v>
      </c>
      <c r="S33" s="33" t="s">
        <v>285</v>
      </c>
      <c r="T33" s="32">
        <v>3.7</v>
      </c>
      <c r="U33" s="33" t="s">
        <v>285</v>
      </c>
      <c r="V33" s="32"/>
      <c r="W33" s="37" t="s">
        <v>285</v>
      </c>
    </row>
    <row r="34" spans="1:23" ht="14.4" customHeight="1" x14ac:dyDescent="0.25">
      <c r="A34" s="31" t="s">
        <v>42</v>
      </c>
      <c r="B34" s="31" t="s">
        <v>220</v>
      </c>
      <c r="C34" s="31" t="s">
        <v>244</v>
      </c>
      <c r="D34" s="59">
        <v>1</v>
      </c>
      <c r="E34" s="60" t="s">
        <v>280</v>
      </c>
      <c r="F34" s="32">
        <f t="shared" si="1"/>
        <v>7</v>
      </c>
      <c r="G34" s="33" t="s">
        <v>285</v>
      </c>
      <c r="H34" s="87">
        <v>10</v>
      </c>
      <c r="I34" s="33" t="s">
        <v>285</v>
      </c>
      <c r="J34" s="32">
        <f t="shared" si="2"/>
        <v>9.8000000000000007</v>
      </c>
      <c r="K34" s="33" t="s">
        <v>285</v>
      </c>
      <c r="L34" s="32">
        <v>30</v>
      </c>
      <c r="M34" s="33" t="s">
        <v>285</v>
      </c>
      <c r="N34" s="32">
        <v>7</v>
      </c>
      <c r="O34" s="33" t="s">
        <v>285</v>
      </c>
      <c r="P34" s="32">
        <v>10</v>
      </c>
      <c r="Q34" s="33" t="s">
        <v>285</v>
      </c>
      <c r="R34" s="32">
        <v>18</v>
      </c>
      <c r="S34" s="33" t="s">
        <v>285</v>
      </c>
      <c r="T34" s="32">
        <v>5.2</v>
      </c>
      <c r="U34" s="33" t="s">
        <v>285</v>
      </c>
      <c r="V34" s="32"/>
      <c r="W34" s="37" t="s">
        <v>285</v>
      </c>
    </row>
    <row r="35" spans="1:23" ht="14.4" customHeight="1" x14ac:dyDescent="0.25">
      <c r="A35" s="31" t="s">
        <v>43</v>
      </c>
      <c r="B35" s="31" t="s">
        <v>220</v>
      </c>
      <c r="C35" s="31" t="s">
        <v>245</v>
      </c>
      <c r="D35" s="59">
        <v>1</v>
      </c>
      <c r="E35" s="60" t="s">
        <v>280</v>
      </c>
      <c r="F35" s="32">
        <f t="shared" si="1"/>
        <v>8</v>
      </c>
      <c r="G35" s="33" t="s">
        <v>285</v>
      </c>
      <c r="H35" s="87">
        <v>9</v>
      </c>
      <c r="I35" s="33" t="s">
        <v>285</v>
      </c>
      <c r="J35" s="32">
        <f t="shared" si="2"/>
        <v>8.82</v>
      </c>
      <c r="K35" s="33" t="s">
        <v>285</v>
      </c>
      <c r="L35" s="32">
        <v>20</v>
      </c>
      <c r="M35" s="33" t="s">
        <v>285</v>
      </c>
      <c r="N35" s="32">
        <v>8</v>
      </c>
      <c r="O35" s="33" t="s">
        <v>285</v>
      </c>
      <c r="P35" s="32">
        <v>3.5</v>
      </c>
      <c r="Q35" s="33" t="s">
        <v>285</v>
      </c>
      <c r="R35" s="32">
        <v>15</v>
      </c>
      <c r="S35" s="33" t="s">
        <v>285</v>
      </c>
      <c r="T35" s="32">
        <v>3.7</v>
      </c>
      <c r="U35" s="33" t="s">
        <v>285</v>
      </c>
      <c r="V35" s="32"/>
      <c r="W35" s="37" t="s">
        <v>285</v>
      </c>
    </row>
    <row r="36" spans="1:23" ht="14.4" customHeight="1" x14ac:dyDescent="0.25">
      <c r="A36" s="31" t="s">
        <v>44</v>
      </c>
      <c r="B36" s="31" t="s">
        <v>220</v>
      </c>
      <c r="C36" s="31" t="s">
        <v>246</v>
      </c>
      <c r="D36" s="59">
        <v>1</v>
      </c>
      <c r="E36" s="60" t="s">
        <v>280</v>
      </c>
      <c r="F36" s="32">
        <f t="shared" si="1"/>
        <v>8</v>
      </c>
      <c r="G36" s="33" t="s">
        <v>285</v>
      </c>
      <c r="H36" s="87">
        <v>12</v>
      </c>
      <c r="I36" s="33" t="s">
        <v>285</v>
      </c>
      <c r="J36" s="32">
        <f t="shared" si="2"/>
        <v>11.76</v>
      </c>
      <c r="K36" s="33" t="s">
        <v>285</v>
      </c>
      <c r="L36" s="32">
        <v>30</v>
      </c>
      <c r="M36" s="33" t="s">
        <v>285</v>
      </c>
      <c r="N36" s="32">
        <v>8</v>
      </c>
      <c r="O36" s="33" t="s">
        <v>285</v>
      </c>
      <c r="P36" s="32">
        <v>10</v>
      </c>
      <c r="Q36" s="33" t="s">
        <v>285</v>
      </c>
      <c r="R36" s="32">
        <v>18</v>
      </c>
      <c r="S36" s="33" t="s">
        <v>285</v>
      </c>
      <c r="T36" s="32">
        <v>5.2</v>
      </c>
      <c r="U36" s="33" t="s">
        <v>285</v>
      </c>
      <c r="V36" s="32"/>
      <c r="W36" s="37" t="s">
        <v>285</v>
      </c>
    </row>
    <row r="37" spans="1:23" ht="14.4" customHeight="1" x14ac:dyDescent="0.25">
      <c r="A37" s="31" t="s">
        <v>45</v>
      </c>
      <c r="B37" s="31" t="s">
        <v>220</v>
      </c>
      <c r="C37" s="89" t="s">
        <v>301</v>
      </c>
      <c r="D37" s="59">
        <v>10</v>
      </c>
      <c r="E37" s="60" t="s">
        <v>280</v>
      </c>
      <c r="F37" s="32">
        <f t="shared" si="1"/>
        <v>9</v>
      </c>
      <c r="G37" s="33" t="s">
        <v>285</v>
      </c>
      <c r="H37" s="86">
        <v>30</v>
      </c>
      <c r="I37" s="33" t="s">
        <v>285</v>
      </c>
      <c r="J37" s="32">
        <f t="shared" si="2"/>
        <v>29.4</v>
      </c>
      <c r="K37" s="33" t="s">
        <v>285</v>
      </c>
      <c r="L37" s="32">
        <v>65</v>
      </c>
      <c r="M37" s="33" t="s">
        <v>285</v>
      </c>
      <c r="N37" s="32">
        <v>9</v>
      </c>
      <c r="O37" s="33" t="s">
        <v>285</v>
      </c>
      <c r="P37" s="32">
        <v>20</v>
      </c>
      <c r="Q37" s="33" t="s">
        <v>285</v>
      </c>
      <c r="R37" s="32">
        <v>90</v>
      </c>
      <c r="S37" s="33" t="s">
        <v>285</v>
      </c>
      <c r="T37" s="32">
        <v>68.5</v>
      </c>
      <c r="U37" s="33" t="s">
        <v>285</v>
      </c>
      <c r="V37" s="32"/>
      <c r="W37" s="37" t="s">
        <v>285</v>
      </c>
    </row>
    <row r="38" spans="1:23" ht="14.4" customHeight="1" x14ac:dyDescent="0.25">
      <c r="A38" s="38" t="s">
        <v>20</v>
      </c>
      <c r="B38" s="38"/>
      <c r="C38" s="38" t="s">
        <v>222</v>
      </c>
      <c r="D38" s="63"/>
      <c r="E38" s="64"/>
      <c r="F38" s="39"/>
      <c r="G38" s="40">
        <f>SUM(G13:G37)</f>
        <v>97616.5</v>
      </c>
      <c r="H38" s="39"/>
      <c r="I38" s="40">
        <f>SUM(I13:I37)</f>
        <v>87434</v>
      </c>
      <c r="J38" s="39"/>
      <c r="K38" s="40">
        <f>SUM(K13:K37)</f>
        <v>85685.319999999992</v>
      </c>
      <c r="L38" s="39"/>
      <c r="M38" s="40">
        <f>SUM(M13:M37)</f>
        <v>88750</v>
      </c>
      <c r="N38" s="39"/>
      <c r="O38" s="40">
        <f>SUM(O13:O37)</f>
        <v>97616.5</v>
      </c>
      <c r="P38" s="39"/>
      <c r="Q38" s="40">
        <f>SUM(Q13:Q37)</f>
        <v>111418.5</v>
      </c>
      <c r="R38" s="39"/>
      <c r="S38" s="40">
        <f>SUM(S13:S37)</f>
        <v>120963.95</v>
      </c>
      <c r="T38" s="39"/>
      <c r="U38" s="40">
        <f>SUM(U13:U37)</f>
        <v>114547.19999999998</v>
      </c>
      <c r="V38" s="39"/>
      <c r="W38" s="40">
        <f>SUM(W13:W37)</f>
        <v>0</v>
      </c>
    </row>
    <row r="39" spans="1:23" ht="14.4" customHeight="1" x14ac:dyDescent="0.25">
      <c r="A39" s="31"/>
      <c r="B39" s="31"/>
      <c r="C39" s="31"/>
      <c r="D39" s="59"/>
      <c r="E39" s="60"/>
      <c r="F39" s="32"/>
      <c r="G39" s="33"/>
      <c r="H39" s="32"/>
      <c r="I39" s="33"/>
      <c r="J39" s="32"/>
      <c r="K39" s="33"/>
      <c r="L39" s="32"/>
      <c r="M39" s="33"/>
      <c r="N39" s="32"/>
      <c r="O39" s="33"/>
      <c r="P39" s="32"/>
      <c r="Q39" s="33"/>
      <c r="R39" s="32"/>
      <c r="S39" s="33"/>
      <c r="T39" s="32"/>
      <c r="U39" s="33"/>
      <c r="V39" s="32"/>
      <c r="W39" s="33"/>
    </row>
    <row r="40" spans="1:23" ht="14.4" customHeight="1" x14ac:dyDescent="0.25">
      <c r="A40" s="91" t="s">
        <v>47</v>
      </c>
      <c r="B40" s="91"/>
      <c r="C40" s="91" t="s">
        <v>248</v>
      </c>
      <c r="D40" s="92">
        <v>6</v>
      </c>
      <c r="E40" s="93" t="s">
        <v>278</v>
      </c>
      <c r="F40" s="32">
        <f t="shared" ref="F40:F52" si="32">N40</f>
        <v>45</v>
      </c>
      <c r="G40" s="33">
        <f>$D40*F40</f>
        <v>270</v>
      </c>
      <c r="H40" s="87">
        <v>59</v>
      </c>
      <c r="I40" s="33">
        <f>$D40*H40</f>
        <v>354</v>
      </c>
      <c r="J40" s="32">
        <f t="shared" ref="J40:J52" si="33">$H40*$K$11</f>
        <v>57.82</v>
      </c>
      <c r="K40" s="33">
        <f>$D40*J40</f>
        <v>346.92</v>
      </c>
      <c r="L40" s="32">
        <v>62</v>
      </c>
      <c r="M40" s="33">
        <f>$D40*L40</f>
        <v>372</v>
      </c>
      <c r="N40" s="32">
        <v>45</v>
      </c>
      <c r="O40" s="33">
        <f>$D40*N40</f>
        <v>270</v>
      </c>
      <c r="P40" s="32">
        <v>49.9</v>
      </c>
      <c r="Q40" s="33">
        <f t="shared" ref="Q40" si="34">$D40*P40</f>
        <v>299.39999999999998</v>
      </c>
      <c r="R40" s="32">
        <v>48</v>
      </c>
      <c r="S40" s="33">
        <f t="shared" ref="S40" si="35">$D40*R40</f>
        <v>288</v>
      </c>
      <c r="T40" s="32">
        <v>40.4</v>
      </c>
      <c r="U40" s="33">
        <f t="shared" ref="U40" si="36">$D40*T40</f>
        <v>242.39999999999998</v>
      </c>
      <c r="V40" s="32"/>
      <c r="W40" s="33">
        <f>$D40*V40</f>
        <v>0</v>
      </c>
    </row>
    <row r="41" spans="1:23" ht="14.4" customHeight="1" x14ac:dyDescent="0.25">
      <c r="A41" s="31" t="s">
        <v>48</v>
      </c>
      <c r="B41" s="31" t="s">
        <v>220</v>
      </c>
      <c r="C41" s="31" t="s">
        <v>249</v>
      </c>
      <c r="D41" s="59">
        <v>1</v>
      </c>
      <c r="E41" s="60" t="s">
        <v>278</v>
      </c>
      <c r="F41" s="32">
        <f t="shared" si="32"/>
        <v>9.9</v>
      </c>
      <c r="G41" s="33" t="s">
        <v>285</v>
      </c>
      <c r="H41" s="87">
        <v>10</v>
      </c>
      <c r="I41" s="33" t="s">
        <v>285</v>
      </c>
      <c r="J41" s="32">
        <f t="shared" si="33"/>
        <v>9.8000000000000007</v>
      </c>
      <c r="K41" s="33" t="s">
        <v>285</v>
      </c>
      <c r="L41" s="32">
        <v>12</v>
      </c>
      <c r="M41" s="33" t="s">
        <v>285</v>
      </c>
      <c r="N41" s="32">
        <v>9.9</v>
      </c>
      <c r="O41" s="33" t="s">
        <v>285</v>
      </c>
      <c r="P41" s="32">
        <v>9</v>
      </c>
      <c r="Q41" s="33" t="s">
        <v>285</v>
      </c>
      <c r="R41" s="32">
        <v>16</v>
      </c>
      <c r="S41" s="33" t="s">
        <v>285</v>
      </c>
      <c r="T41" s="32">
        <v>15.7</v>
      </c>
      <c r="U41" s="33" t="s">
        <v>285</v>
      </c>
      <c r="V41" s="32"/>
      <c r="W41" s="37" t="s">
        <v>285</v>
      </c>
    </row>
    <row r="42" spans="1:23" ht="14.4" customHeight="1" x14ac:dyDescent="0.25">
      <c r="A42" s="31" t="s">
        <v>49</v>
      </c>
      <c r="B42" s="31" t="s">
        <v>220</v>
      </c>
      <c r="C42" s="31" t="s">
        <v>250</v>
      </c>
      <c r="D42" s="59">
        <v>1</v>
      </c>
      <c r="E42" s="60" t="s">
        <v>278</v>
      </c>
      <c r="F42" s="32">
        <f t="shared" si="32"/>
        <v>2.9</v>
      </c>
      <c r="G42" s="33" t="s">
        <v>285</v>
      </c>
      <c r="H42" s="87">
        <v>2.5</v>
      </c>
      <c r="I42" s="33" t="s">
        <v>285</v>
      </c>
      <c r="J42" s="32">
        <f t="shared" si="33"/>
        <v>2.4500000000000002</v>
      </c>
      <c r="K42" s="33" t="s">
        <v>285</v>
      </c>
      <c r="L42" s="32">
        <v>4</v>
      </c>
      <c r="M42" s="33" t="s">
        <v>285</v>
      </c>
      <c r="N42" s="32">
        <v>2.9</v>
      </c>
      <c r="O42" s="33" t="s">
        <v>285</v>
      </c>
      <c r="P42" s="32">
        <v>2.2999999999999998</v>
      </c>
      <c r="Q42" s="33" t="s">
        <v>285</v>
      </c>
      <c r="R42" s="32">
        <v>4.2</v>
      </c>
      <c r="S42" s="33" t="s">
        <v>285</v>
      </c>
      <c r="T42" s="32">
        <v>3.1</v>
      </c>
      <c r="U42" s="33" t="s">
        <v>285</v>
      </c>
      <c r="V42" s="32"/>
      <c r="W42" s="37" t="s">
        <v>285</v>
      </c>
    </row>
    <row r="43" spans="1:23" ht="14.4" customHeight="1" x14ac:dyDescent="0.25">
      <c r="A43" s="31" t="s">
        <v>50</v>
      </c>
      <c r="B43" s="31" t="s">
        <v>220</v>
      </c>
      <c r="C43" s="31" t="s">
        <v>251</v>
      </c>
      <c r="D43" s="59">
        <v>1</v>
      </c>
      <c r="E43" s="60" t="s">
        <v>278</v>
      </c>
      <c r="F43" s="32">
        <f t="shared" si="32"/>
        <v>5.8</v>
      </c>
      <c r="G43" s="33" t="s">
        <v>285</v>
      </c>
      <c r="H43" s="87">
        <v>5</v>
      </c>
      <c r="I43" s="33" t="s">
        <v>285</v>
      </c>
      <c r="J43" s="32">
        <f t="shared" si="33"/>
        <v>4.9000000000000004</v>
      </c>
      <c r="K43" s="33" t="s">
        <v>285</v>
      </c>
      <c r="L43" s="32">
        <v>8</v>
      </c>
      <c r="M43" s="33" t="s">
        <v>285</v>
      </c>
      <c r="N43" s="32">
        <v>5.8</v>
      </c>
      <c r="O43" s="33" t="s">
        <v>285</v>
      </c>
      <c r="P43" s="32">
        <v>4.5999999999999996</v>
      </c>
      <c r="Q43" s="33" t="s">
        <v>285</v>
      </c>
      <c r="R43" s="32">
        <v>8.4</v>
      </c>
      <c r="S43" s="33" t="s">
        <v>285</v>
      </c>
      <c r="T43" s="32">
        <v>6.2</v>
      </c>
      <c r="U43" s="33" t="s">
        <v>285</v>
      </c>
      <c r="V43" s="32"/>
      <c r="W43" s="37" t="s">
        <v>285</v>
      </c>
    </row>
    <row r="44" spans="1:23" ht="14.4" customHeight="1" x14ac:dyDescent="0.25">
      <c r="A44" s="31" t="s">
        <v>51</v>
      </c>
      <c r="B44" s="31" t="s">
        <v>220</v>
      </c>
      <c r="C44" s="31" t="s">
        <v>252</v>
      </c>
      <c r="D44" s="59">
        <v>1</v>
      </c>
      <c r="E44" s="60" t="s">
        <v>278</v>
      </c>
      <c r="F44" s="32">
        <f t="shared" si="32"/>
        <v>3.9</v>
      </c>
      <c r="G44" s="33" t="s">
        <v>285</v>
      </c>
      <c r="H44" s="32">
        <v>6.95</v>
      </c>
      <c r="I44" s="33" t="s">
        <v>285</v>
      </c>
      <c r="J44" s="32">
        <f t="shared" si="33"/>
        <v>6.8109999999999999</v>
      </c>
      <c r="K44" s="33" t="s">
        <v>285</v>
      </c>
      <c r="L44" s="32">
        <v>6.95</v>
      </c>
      <c r="M44" s="33" t="s">
        <v>285</v>
      </c>
      <c r="N44" s="32">
        <v>3.9</v>
      </c>
      <c r="O44" s="33" t="s">
        <v>285</v>
      </c>
      <c r="P44" s="32">
        <v>5</v>
      </c>
      <c r="Q44" s="33" t="s">
        <v>285</v>
      </c>
      <c r="R44" s="32">
        <v>8.8000000000000007</v>
      </c>
      <c r="S44" s="33" t="s">
        <v>285</v>
      </c>
      <c r="T44" s="32">
        <v>7.4</v>
      </c>
      <c r="U44" s="33" t="s">
        <v>285</v>
      </c>
      <c r="V44" s="32"/>
      <c r="W44" s="37" t="s">
        <v>285</v>
      </c>
    </row>
    <row r="45" spans="1:23" ht="14.4" customHeight="1" x14ac:dyDescent="0.25">
      <c r="A45" s="31" t="s">
        <v>52</v>
      </c>
      <c r="B45" s="31"/>
      <c r="C45" s="31" t="s">
        <v>253</v>
      </c>
      <c r="D45" s="59">
        <v>20</v>
      </c>
      <c r="E45" s="60" t="s">
        <v>279</v>
      </c>
      <c r="F45" s="32">
        <f t="shared" si="32"/>
        <v>6.9</v>
      </c>
      <c r="G45" s="33">
        <f t="shared" ref="G45:G50" si="37">$D45*F45</f>
        <v>138</v>
      </c>
      <c r="H45" s="87">
        <v>10</v>
      </c>
      <c r="I45" s="33">
        <f t="shared" ref="I45:I50" si="38">$D45*H45</f>
        <v>200</v>
      </c>
      <c r="J45" s="32">
        <f t="shared" si="33"/>
        <v>9.8000000000000007</v>
      </c>
      <c r="K45" s="33">
        <f t="shared" ref="K45:K50" si="39">$D45*J45</f>
        <v>196</v>
      </c>
      <c r="L45" s="32">
        <v>15</v>
      </c>
      <c r="M45" s="33">
        <f t="shared" ref="M45:M50" si="40">$D45*L45</f>
        <v>300</v>
      </c>
      <c r="N45" s="32">
        <v>6.9</v>
      </c>
      <c r="O45" s="33">
        <f t="shared" ref="O45:O50" si="41">$D45*N45</f>
        <v>138</v>
      </c>
      <c r="P45" s="32">
        <v>10.5</v>
      </c>
      <c r="Q45" s="33">
        <f t="shared" ref="Q45" si="42">$D45*P45</f>
        <v>210</v>
      </c>
      <c r="R45" s="32">
        <v>6.9</v>
      </c>
      <c r="S45" s="33">
        <f t="shared" ref="S45:S50" si="43">$D45*R45</f>
        <v>138</v>
      </c>
      <c r="T45" s="32">
        <v>11.8</v>
      </c>
      <c r="U45" s="33">
        <f t="shared" ref="U45" si="44">$D45*T45</f>
        <v>236</v>
      </c>
      <c r="V45" s="32"/>
      <c r="W45" s="33">
        <f t="shared" ref="W45:W50" si="45">$D45*V45</f>
        <v>0</v>
      </c>
    </row>
    <row r="46" spans="1:23" ht="14.4" customHeight="1" x14ac:dyDescent="0.25">
      <c r="A46" s="31" t="s">
        <v>53</v>
      </c>
      <c r="B46" s="31"/>
      <c r="C46" s="31" t="s">
        <v>254</v>
      </c>
      <c r="D46" s="59">
        <v>20</v>
      </c>
      <c r="E46" s="60" t="s">
        <v>279</v>
      </c>
      <c r="F46" s="32">
        <f t="shared" si="32"/>
        <v>4.5</v>
      </c>
      <c r="G46" s="33">
        <f t="shared" si="37"/>
        <v>90</v>
      </c>
      <c r="H46" s="87">
        <v>5</v>
      </c>
      <c r="I46" s="33">
        <f t="shared" si="38"/>
        <v>100</v>
      </c>
      <c r="J46" s="32">
        <f t="shared" si="33"/>
        <v>4.9000000000000004</v>
      </c>
      <c r="K46" s="33">
        <f t="shared" si="39"/>
        <v>98</v>
      </c>
      <c r="L46" s="32">
        <v>6.5</v>
      </c>
      <c r="M46" s="33">
        <f t="shared" si="40"/>
        <v>130</v>
      </c>
      <c r="N46" s="32">
        <v>4.5</v>
      </c>
      <c r="O46" s="33">
        <f t="shared" si="41"/>
        <v>90</v>
      </c>
      <c r="P46" s="32">
        <v>4</v>
      </c>
      <c r="Q46" s="33">
        <f t="shared" ref="Q46" si="46">$D46*P46</f>
        <v>80</v>
      </c>
      <c r="R46" s="32">
        <v>6.5</v>
      </c>
      <c r="S46" s="33">
        <f t="shared" si="43"/>
        <v>130</v>
      </c>
      <c r="T46" s="32">
        <v>8.1</v>
      </c>
      <c r="U46" s="33">
        <f t="shared" ref="U46" si="47">$D46*T46</f>
        <v>162</v>
      </c>
      <c r="V46" s="32"/>
      <c r="W46" s="33">
        <f t="shared" si="45"/>
        <v>0</v>
      </c>
    </row>
    <row r="47" spans="1:23" ht="14.4" customHeight="1" x14ac:dyDescent="0.25">
      <c r="A47" s="31" t="s">
        <v>54</v>
      </c>
      <c r="B47" s="31"/>
      <c r="C47" s="31" t="s">
        <v>255</v>
      </c>
      <c r="D47" s="59">
        <v>10</v>
      </c>
      <c r="E47" s="60" t="s">
        <v>280</v>
      </c>
      <c r="F47" s="32">
        <f t="shared" si="32"/>
        <v>9.5</v>
      </c>
      <c r="G47" s="33">
        <f t="shared" si="37"/>
        <v>95</v>
      </c>
      <c r="H47" s="32">
        <v>10</v>
      </c>
      <c r="I47" s="33">
        <f t="shared" si="38"/>
        <v>100</v>
      </c>
      <c r="J47" s="32">
        <f t="shared" si="33"/>
        <v>9.8000000000000007</v>
      </c>
      <c r="K47" s="33">
        <f t="shared" si="39"/>
        <v>98</v>
      </c>
      <c r="L47" s="32">
        <v>10</v>
      </c>
      <c r="M47" s="33">
        <f t="shared" si="40"/>
        <v>100</v>
      </c>
      <c r="N47" s="32">
        <v>9.5</v>
      </c>
      <c r="O47" s="33">
        <f t="shared" si="41"/>
        <v>95</v>
      </c>
      <c r="P47" s="32">
        <v>25</v>
      </c>
      <c r="Q47" s="33">
        <f t="shared" ref="Q47" si="48">$D47*P47</f>
        <v>250</v>
      </c>
      <c r="R47" s="32">
        <v>25</v>
      </c>
      <c r="S47" s="33">
        <f t="shared" si="43"/>
        <v>250</v>
      </c>
      <c r="T47" s="32">
        <v>13.7</v>
      </c>
      <c r="U47" s="33">
        <f t="shared" ref="U47" si="49">$D47*T47</f>
        <v>137</v>
      </c>
      <c r="V47" s="32"/>
      <c r="W47" s="33">
        <f t="shared" si="45"/>
        <v>0</v>
      </c>
    </row>
    <row r="48" spans="1:23" ht="14.4" customHeight="1" x14ac:dyDescent="0.25">
      <c r="A48" s="31" t="s">
        <v>55</v>
      </c>
      <c r="B48" s="31"/>
      <c r="C48" s="31" t="s">
        <v>256</v>
      </c>
      <c r="D48" s="59">
        <v>10</v>
      </c>
      <c r="E48" s="60" t="s">
        <v>280</v>
      </c>
      <c r="F48" s="32">
        <f t="shared" si="32"/>
        <v>8</v>
      </c>
      <c r="G48" s="33">
        <f t="shared" si="37"/>
        <v>80</v>
      </c>
      <c r="H48" s="32">
        <v>20</v>
      </c>
      <c r="I48" s="33">
        <f t="shared" si="38"/>
        <v>200</v>
      </c>
      <c r="J48" s="32">
        <f t="shared" si="33"/>
        <v>19.600000000000001</v>
      </c>
      <c r="K48" s="33">
        <f t="shared" si="39"/>
        <v>196</v>
      </c>
      <c r="L48" s="32">
        <v>20</v>
      </c>
      <c r="M48" s="33">
        <f t="shared" si="40"/>
        <v>200</v>
      </c>
      <c r="N48" s="32">
        <v>8</v>
      </c>
      <c r="O48" s="33">
        <f t="shared" si="41"/>
        <v>80</v>
      </c>
      <c r="P48" s="32">
        <v>25</v>
      </c>
      <c r="Q48" s="33">
        <f t="shared" ref="Q48" si="50">$D48*P48</f>
        <v>250</v>
      </c>
      <c r="R48" s="32">
        <v>15</v>
      </c>
      <c r="S48" s="33">
        <f t="shared" si="43"/>
        <v>150</v>
      </c>
      <c r="T48" s="32">
        <v>13.7</v>
      </c>
      <c r="U48" s="33">
        <f t="shared" ref="U48" si="51">$D48*T48</f>
        <v>137</v>
      </c>
      <c r="V48" s="32"/>
      <c r="W48" s="33">
        <f t="shared" si="45"/>
        <v>0</v>
      </c>
    </row>
    <row r="49" spans="1:23" ht="14.4" customHeight="1" x14ac:dyDescent="0.25">
      <c r="A49" s="31" t="s">
        <v>56</v>
      </c>
      <c r="B49" s="31"/>
      <c r="C49" s="31" t="s">
        <v>257</v>
      </c>
      <c r="D49" s="59">
        <v>5</v>
      </c>
      <c r="E49" s="60" t="s">
        <v>280</v>
      </c>
      <c r="F49" s="32">
        <f t="shared" si="32"/>
        <v>64</v>
      </c>
      <c r="G49" s="33">
        <f t="shared" si="37"/>
        <v>320</v>
      </c>
      <c r="H49" s="32">
        <v>65</v>
      </c>
      <c r="I49" s="33">
        <f t="shared" si="38"/>
        <v>325</v>
      </c>
      <c r="J49" s="32">
        <f t="shared" si="33"/>
        <v>63.699999999999996</v>
      </c>
      <c r="K49" s="33">
        <f t="shared" si="39"/>
        <v>318.5</v>
      </c>
      <c r="L49" s="32">
        <v>65</v>
      </c>
      <c r="M49" s="33">
        <f t="shared" si="40"/>
        <v>325</v>
      </c>
      <c r="N49" s="32">
        <v>64</v>
      </c>
      <c r="O49" s="33">
        <f t="shared" si="41"/>
        <v>320</v>
      </c>
      <c r="P49" s="32">
        <v>88</v>
      </c>
      <c r="Q49" s="33">
        <f t="shared" ref="Q49" si="52">$D49*P49</f>
        <v>440</v>
      </c>
      <c r="R49" s="32">
        <v>55</v>
      </c>
      <c r="S49" s="33">
        <f t="shared" si="43"/>
        <v>275</v>
      </c>
      <c r="T49" s="32">
        <v>69.099999999999994</v>
      </c>
      <c r="U49" s="33">
        <f t="shared" ref="U49" si="53">$D49*T49</f>
        <v>345.5</v>
      </c>
      <c r="V49" s="32"/>
      <c r="W49" s="33">
        <f t="shared" si="45"/>
        <v>0</v>
      </c>
    </row>
    <row r="50" spans="1:23" ht="14.4" customHeight="1" x14ac:dyDescent="0.25">
      <c r="A50" s="31" t="s">
        <v>57</v>
      </c>
      <c r="B50" s="31"/>
      <c r="C50" s="31" t="s">
        <v>258</v>
      </c>
      <c r="D50" s="59">
        <v>5</v>
      </c>
      <c r="E50" s="60" t="s">
        <v>280</v>
      </c>
      <c r="F50" s="32">
        <f t="shared" si="32"/>
        <v>77</v>
      </c>
      <c r="G50" s="33">
        <f t="shared" si="37"/>
        <v>385</v>
      </c>
      <c r="H50" s="32">
        <v>80</v>
      </c>
      <c r="I50" s="33">
        <f t="shared" si="38"/>
        <v>400</v>
      </c>
      <c r="J50" s="32">
        <f t="shared" si="33"/>
        <v>78.400000000000006</v>
      </c>
      <c r="K50" s="33">
        <f t="shared" si="39"/>
        <v>392</v>
      </c>
      <c r="L50" s="32">
        <v>80</v>
      </c>
      <c r="M50" s="33">
        <f t="shared" si="40"/>
        <v>400</v>
      </c>
      <c r="N50" s="32">
        <v>77</v>
      </c>
      <c r="O50" s="33">
        <f t="shared" si="41"/>
        <v>385</v>
      </c>
      <c r="P50" s="32">
        <v>125</v>
      </c>
      <c r="Q50" s="33">
        <f t="shared" ref="Q50" si="54">$D50*P50</f>
        <v>625</v>
      </c>
      <c r="R50" s="32">
        <v>65</v>
      </c>
      <c r="S50" s="33">
        <f t="shared" si="43"/>
        <v>325</v>
      </c>
      <c r="T50" s="32">
        <v>91.9</v>
      </c>
      <c r="U50" s="33">
        <f t="shared" ref="U50" si="55">$D50*T50</f>
        <v>459.5</v>
      </c>
      <c r="V50" s="32"/>
      <c r="W50" s="33">
        <f t="shared" si="45"/>
        <v>0</v>
      </c>
    </row>
    <row r="51" spans="1:23" ht="14.4" customHeight="1" x14ac:dyDescent="0.25">
      <c r="A51" s="31" t="s">
        <v>58</v>
      </c>
      <c r="B51" s="31" t="s">
        <v>220</v>
      </c>
      <c r="C51" s="31" t="s">
        <v>259</v>
      </c>
      <c r="D51" s="59">
        <v>1</v>
      </c>
      <c r="E51" s="60" t="s">
        <v>280</v>
      </c>
      <c r="F51" s="32">
        <f t="shared" si="32"/>
        <v>190</v>
      </c>
      <c r="G51" s="33" t="s">
        <v>285</v>
      </c>
      <c r="H51" s="32">
        <v>170</v>
      </c>
      <c r="I51" s="33" t="s">
        <v>285</v>
      </c>
      <c r="J51" s="32">
        <f t="shared" si="33"/>
        <v>166.6</v>
      </c>
      <c r="K51" s="33" t="s">
        <v>285</v>
      </c>
      <c r="L51" s="32">
        <v>170</v>
      </c>
      <c r="M51" s="33" t="s">
        <v>285</v>
      </c>
      <c r="N51" s="32">
        <v>190</v>
      </c>
      <c r="O51" s="33" t="s">
        <v>285</v>
      </c>
      <c r="P51" s="32">
        <v>239.95</v>
      </c>
      <c r="Q51" s="33" t="s">
        <v>285</v>
      </c>
      <c r="R51" s="32">
        <v>280</v>
      </c>
      <c r="S51" s="33" t="s">
        <v>285</v>
      </c>
      <c r="T51" s="32">
        <v>346.9</v>
      </c>
      <c r="U51" s="33" t="s">
        <v>285</v>
      </c>
      <c r="V51" s="32"/>
      <c r="W51" s="37" t="s">
        <v>285</v>
      </c>
    </row>
    <row r="52" spans="1:23" ht="14.4" customHeight="1" x14ac:dyDescent="0.25">
      <c r="A52" s="31" t="s">
        <v>59</v>
      </c>
      <c r="B52" s="31" t="s">
        <v>220</v>
      </c>
      <c r="C52" s="31" t="s">
        <v>260</v>
      </c>
      <c r="D52" s="59">
        <v>1</v>
      </c>
      <c r="E52" s="60" t="s">
        <v>280</v>
      </c>
      <c r="F52" s="32">
        <f t="shared" si="32"/>
        <v>240</v>
      </c>
      <c r="G52" s="33" t="s">
        <v>285</v>
      </c>
      <c r="H52" s="32">
        <v>200</v>
      </c>
      <c r="I52" s="33" t="s">
        <v>285</v>
      </c>
      <c r="J52" s="32">
        <f t="shared" si="33"/>
        <v>196</v>
      </c>
      <c r="K52" s="33" t="s">
        <v>285</v>
      </c>
      <c r="L52" s="32">
        <v>200</v>
      </c>
      <c r="M52" s="33" t="s">
        <v>285</v>
      </c>
      <c r="N52" s="32">
        <v>240</v>
      </c>
      <c r="O52" s="33" t="s">
        <v>285</v>
      </c>
      <c r="P52" s="32">
        <v>281.95</v>
      </c>
      <c r="Q52" s="33" t="s">
        <v>285</v>
      </c>
      <c r="R52" s="32">
        <v>350</v>
      </c>
      <c r="S52" s="33" t="s">
        <v>285</v>
      </c>
      <c r="T52" s="32">
        <v>391.4</v>
      </c>
      <c r="U52" s="33" t="s">
        <v>285</v>
      </c>
      <c r="V52" s="32"/>
      <c r="W52" s="37" t="s">
        <v>285</v>
      </c>
    </row>
    <row r="53" spans="1:23" ht="14.4" customHeight="1" x14ac:dyDescent="0.25">
      <c r="A53" s="38" t="s">
        <v>46</v>
      </c>
      <c r="B53" s="38"/>
      <c r="C53" s="38" t="s">
        <v>247</v>
      </c>
      <c r="D53" s="63"/>
      <c r="E53" s="64"/>
      <c r="F53" s="39"/>
      <c r="G53" s="40">
        <f>SUM(G40:G52)</f>
        <v>1378</v>
      </c>
      <c r="H53" s="39"/>
      <c r="I53" s="40">
        <f>SUM(I40:I52)</f>
        <v>1679</v>
      </c>
      <c r="J53" s="39"/>
      <c r="K53" s="40">
        <f>SUM(K40:K52)</f>
        <v>1645.42</v>
      </c>
      <c r="L53" s="39"/>
      <c r="M53" s="40">
        <f>SUM(M40:M52)</f>
        <v>1827</v>
      </c>
      <c r="N53" s="39"/>
      <c r="O53" s="40">
        <f>SUM(O40:O52)</f>
        <v>1378</v>
      </c>
      <c r="P53" s="39"/>
      <c r="Q53" s="40">
        <f>SUM(Q40:Q52)</f>
        <v>2154.4</v>
      </c>
      <c r="R53" s="39"/>
      <c r="S53" s="40">
        <f>SUM(S40:S52)</f>
        <v>1556</v>
      </c>
      <c r="T53" s="39"/>
      <c r="U53" s="40">
        <f>SUM(U40:U52)</f>
        <v>1719.4</v>
      </c>
      <c r="V53" s="39"/>
      <c r="W53" s="40">
        <f>SUM(W40:W52)</f>
        <v>0</v>
      </c>
    </row>
    <row r="54" spans="1:23" ht="14.4" customHeight="1" x14ac:dyDescent="0.25">
      <c r="A54" s="31"/>
      <c r="B54" s="31"/>
      <c r="C54" s="31"/>
      <c r="D54" s="59"/>
      <c r="E54" s="60"/>
      <c r="F54" s="32"/>
      <c r="G54" s="33"/>
      <c r="H54" s="32"/>
      <c r="I54" s="33"/>
      <c r="J54" s="32"/>
      <c r="K54" s="33"/>
      <c r="L54" s="32"/>
      <c r="M54" s="33"/>
      <c r="N54" s="32"/>
      <c r="O54" s="33"/>
      <c r="P54" s="32"/>
      <c r="Q54" s="33"/>
      <c r="R54" s="32"/>
      <c r="S54" s="33"/>
      <c r="T54" s="32"/>
      <c r="U54" s="33"/>
      <c r="V54" s="32"/>
      <c r="W54" s="33"/>
    </row>
    <row r="55" spans="1:23" ht="14.4" customHeight="1" x14ac:dyDescent="0.25">
      <c r="A55" s="31" t="s">
        <v>61</v>
      </c>
      <c r="B55" s="31"/>
      <c r="C55" s="31" t="s">
        <v>262</v>
      </c>
      <c r="D55" s="59">
        <v>58</v>
      </c>
      <c r="E55" s="60" t="s">
        <v>278</v>
      </c>
      <c r="F55" s="32">
        <f t="shared" ref="F55:F59" si="56">N55</f>
        <v>62</v>
      </c>
      <c r="G55" s="33">
        <f>$D55*F55</f>
        <v>3596</v>
      </c>
      <c r="H55" s="86">
        <v>68.5</v>
      </c>
      <c r="I55" s="33">
        <f>$D55*H55</f>
        <v>3973</v>
      </c>
      <c r="J55" s="32">
        <f t="shared" ref="J55:J59" si="57">$H55*$K$11</f>
        <v>67.13</v>
      </c>
      <c r="K55" s="33">
        <f>$D55*J55</f>
        <v>3893.54</v>
      </c>
      <c r="L55" s="32">
        <v>75</v>
      </c>
      <c r="M55" s="33">
        <f>$D55*L55</f>
        <v>4350</v>
      </c>
      <c r="N55" s="32">
        <v>62</v>
      </c>
      <c r="O55" s="33">
        <f>$D55*N55</f>
        <v>3596</v>
      </c>
      <c r="P55" s="32">
        <v>102.25</v>
      </c>
      <c r="Q55" s="33">
        <f t="shared" ref="Q55" si="58">$D55*P55</f>
        <v>5930.5</v>
      </c>
      <c r="R55" s="32">
        <v>131.5</v>
      </c>
      <c r="S55" s="33">
        <f t="shared" ref="S55:S59" si="59">$D55*R55</f>
        <v>7627</v>
      </c>
      <c r="T55" s="32">
        <v>81.400000000000006</v>
      </c>
      <c r="U55" s="33">
        <f t="shared" ref="U55" si="60">$D55*T55</f>
        <v>4721.2000000000007</v>
      </c>
      <c r="V55" s="32"/>
      <c r="W55" s="33">
        <f>$D55*V55</f>
        <v>0</v>
      </c>
    </row>
    <row r="56" spans="1:23" ht="14.4" customHeight="1" x14ac:dyDescent="0.25">
      <c r="A56" s="31" t="s">
        <v>62</v>
      </c>
      <c r="B56" s="31"/>
      <c r="C56" s="31" t="s">
        <v>263</v>
      </c>
      <c r="D56" s="59">
        <v>10</v>
      </c>
      <c r="E56" s="60" t="s">
        <v>279</v>
      </c>
      <c r="F56" s="32">
        <f t="shared" si="56"/>
        <v>9</v>
      </c>
      <c r="G56" s="33">
        <f>$D56*F56</f>
        <v>90</v>
      </c>
      <c r="H56" s="86">
        <v>13</v>
      </c>
      <c r="I56" s="33">
        <f>$D56*H56</f>
        <v>130</v>
      </c>
      <c r="J56" s="32">
        <f t="shared" si="57"/>
        <v>12.74</v>
      </c>
      <c r="K56" s="33">
        <f>$D56*J56</f>
        <v>127.4</v>
      </c>
      <c r="L56" s="32">
        <v>22</v>
      </c>
      <c r="M56" s="33">
        <f>$D56*L56</f>
        <v>220</v>
      </c>
      <c r="N56" s="32">
        <v>9</v>
      </c>
      <c r="O56" s="33">
        <f>$D56*N56</f>
        <v>90</v>
      </c>
      <c r="P56" s="32">
        <v>10.9</v>
      </c>
      <c r="Q56" s="33">
        <f t="shared" ref="Q56" si="61">$D56*P56</f>
        <v>109</v>
      </c>
      <c r="R56" s="32">
        <v>26.2</v>
      </c>
      <c r="S56" s="33">
        <f t="shared" si="59"/>
        <v>262</v>
      </c>
      <c r="T56" s="32">
        <v>19.100000000000001</v>
      </c>
      <c r="U56" s="33">
        <f t="shared" ref="U56" si="62">$D56*T56</f>
        <v>191</v>
      </c>
      <c r="V56" s="32"/>
      <c r="W56" s="33">
        <f>$D56*V56</f>
        <v>0</v>
      </c>
    </row>
    <row r="57" spans="1:23" ht="14.4" customHeight="1" x14ac:dyDescent="0.25">
      <c r="A57" s="31" t="s">
        <v>63</v>
      </c>
      <c r="B57" s="31"/>
      <c r="C57" s="31" t="s">
        <v>264</v>
      </c>
      <c r="D57" s="59">
        <v>32</v>
      </c>
      <c r="E57" s="60" t="s">
        <v>279</v>
      </c>
      <c r="F57" s="32">
        <f t="shared" si="56"/>
        <v>67</v>
      </c>
      <c r="G57" s="33">
        <f>$D57*F57</f>
        <v>2144</v>
      </c>
      <c r="H57" s="32">
        <v>28</v>
      </c>
      <c r="I57" s="33">
        <f>$D57*H57</f>
        <v>896</v>
      </c>
      <c r="J57" s="32">
        <f t="shared" si="57"/>
        <v>27.439999999999998</v>
      </c>
      <c r="K57" s="33">
        <f>$D57*J57</f>
        <v>878.07999999999993</v>
      </c>
      <c r="L57" s="32">
        <v>28</v>
      </c>
      <c r="M57" s="33">
        <f>$D57*L57</f>
        <v>896</v>
      </c>
      <c r="N57" s="32">
        <v>67</v>
      </c>
      <c r="O57" s="33">
        <f>$D57*N57</f>
        <v>2144</v>
      </c>
      <c r="P57" s="32">
        <v>36</v>
      </c>
      <c r="Q57" s="33">
        <f t="shared" ref="Q57" si="63">$D57*P57</f>
        <v>1152</v>
      </c>
      <c r="R57" s="32">
        <v>35</v>
      </c>
      <c r="S57" s="33">
        <f t="shared" si="59"/>
        <v>1120</v>
      </c>
      <c r="T57" s="32">
        <v>19.100000000000001</v>
      </c>
      <c r="U57" s="33">
        <f t="shared" ref="U57" si="64">$D57*T57</f>
        <v>611.20000000000005</v>
      </c>
      <c r="V57" s="32"/>
      <c r="W57" s="33">
        <f>$D57*V57</f>
        <v>0</v>
      </c>
    </row>
    <row r="58" spans="1:23" ht="14.4" customHeight="1" x14ac:dyDescent="0.25">
      <c r="A58" s="31" t="s">
        <v>64</v>
      </c>
      <c r="B58" s="31"/>
      <c r="C58" s="31" t="s">
        <v>265</v>
      </c>
      <c r="D58" s="59">
        <v>5</v>
      </c>
      <c r="E58" s="60" t="s">
        <v>280</v>
      </c>
      <c r="F58" s="32">
        <f t="shared" si="56"/>
        <v>9</v>
      </c>
      <c r="G58" s="33">
        <f>$D58*F58</f>
        <v>45</v>
      </c>
      <c r="H58" s="32">
        <v>15</v>
      </c>
      <c r="I58" s="33">
        <f>$D58*H58</f>
        <v>75</v>
      </c>
      <c r="J58" s="32">
        <f t="shared" si="57"/>
        <v>14.7</v>
      </c>
      <c r="K58" s="33">
        <f>$D58*J58</f>
        <v>73.5</v>
      </c>
      <c r="L58" s="32">
        <v>15</v>
      </c>
      <c r="M58" s="33">
        <f>$D58*L58</f>
        <v>75</v>
      </c>
      <c r="N58" s="32">
        <v>9</v>
      </c>
      <c r="O58" s="33">
        <f>$D58*N58</f>
        <v>45</v>
      </c>
      <c r="P58" s="32">
        <v>25</v>
      </c>
      <c r="Q58" s="33">
        <f t="shared" ref="Q58" si="65">$D58*P58</f>
        <v>125</v>
      </c>
      <c r="R58" s="32">
        <v>26</v>
      </c>
      <c r="S58" s="33">
        <f t="shared" si="59"/>
        <v>130</v>
      </c>
      <c r="T58" s="32">
        <v>80.5</v>
      </c>
      <c r="U58" s="33">
        <f t="shared" ref="U58" si="66">$D58*T58</f>
        <v>402.5</v>
      </c>
      <c r="V58" s="32"/>
      <c r="W58" s="33">
        <f>$D58*V58</f>
        <v>0</v>
      </c>
    </row>
    <row r="59" spans="1:23" ht="14.4" customHeight="1" x14ac:dyDescent="0.25">
      <c r="A59" s="31" t="s">
        <v>65</v>
      </c>
      <c r="B59" s="31"/>
      <c r="C59" s="31" t="s">
        <v>266</v>
      </c>
      <c r="D59" s="59">
        <v>5</v>
      </c>
      <c r="E59" s="60" t="s">
        <v>280</v>
      </c>
      <c r="F59" s="32">
        <f t="shared" si="56"/>
        <v>12</v>
      </c>
      <c r="G59" s="33">
        <f>$D59*F59</f>
        <v>60</v>
      </c>
      <c r="H59" s="32">
        <v>30</v>
      </c>
      <c r="I59" s="33">
        <f>$D59*H59</f>
        <v>150</v>
      </c>
      <c r="J59" s="32">
        <f t="shared" si="57"/>
        <v>29.4</v>
      </c>
      <c r="K59" s="33">
        <f>$D59*J59</f>
        <v>147</v>
      </c>
      <c r="L59" s="32">
        <v>30</v>
      </c>
      <c r="M59" s="33">
        <f>$D59*L59</f>
        <v>150</v>
      </c>
      <c r="N59" s="32">
        <v>12</v>
      </c>
      <c r="O59" s="33">
        <f>$D59*N59</f>
        <v>60</v>
      </c>
      <c r="P59" s="32">
        <v>25</v>
      </c>
      <c r="Q59" s="33">
        <f t="shared" ref="Q59" si="67">$D59*P59</f>
        <v>125</v>
      </c>
      <c r="R59" s="32">
        <v>35</v>
      </c>
      <c r="S59" s="33">
        <f t="shared" si="59"/>
        <v>175</v>
      </c>
      <c r="T59" s="32">
        <v>67.099999999999994</v>
      </c>
      <c r="U59" s="33">
        <f t="shared" ref="U59" si="68">$D59*T59</f>
        <v>335.5</v>
      </c>
      <c r="V59" s="32"/>
      <c r="W59" s="33">
        <f>$D59*V59</f>
        <v>0</v>
      </c>
    </row>
    <row r="60" spans="1:23" ht="14.4" customHeight="1" x14ac:dyDescent="0.25">
      <c r="A60" s="38" t="s">
        <v>60</v>
      </c>
      <c r="B60" s="38"/>
      <c r="C60" s="38" t="s">
        <v>261</v>
      </c>
      <c r="D60" s="63"/>
      <c r="E60" s="64"/>
      <c r="F60" s="39"/>
      <c r="G60" s="40">
        <f>SUM(G55:G59)</f>
        <v>5935</v>
      </c>
      <c r="H60" s="39"/>
      <c r="I60" s="40">
        <f>SUM(I55:I59)</f>
        <v>5224</v>
      </c>
      <c r="J60" s="39"/>
      <c r="K60" s="40">
        <f>SUM(K55:K59)</f>
        <v>5119.5200000000004</v>
      </c>
      <c r="L60" s="39"/>
      <c r="M60" s="40">
        <f>SUM(M55:M59)</f>
        <v>5691</v>
      </c>
      <c r="N60" s="39"/>
      <c r="O60" s="40">
        <f>SUM(O55:O59)</f>
        <v>5935</v>
      </c>
      <c r="P60" s="39"/>
      <c r="Q60" s="40">
        <f>SUM(Q55:Q59)</f>
        <v>7441.5</v>
      </c>
      <c r="R60" s="39"/>
      <c r="S60" s="40">
        <f>SUM(S55:S59)</f>
        <v>9314</v>
      </c>
      <c r="T60" s="39"/>
      <c r="U60" s="40">
        <f>SUM(U55:U59)</f>
        <v>6261.4000000000005</v>
      </c>
      <c r="V60" s="39"/>
      <c r="W60" s="40">
        <f>SUM(W55:W59)</f>
        <v>0</v>
      </c>
    </row>
    <row r="61" spans="1:23" ht="14.4" customHeight="1" x14ac:dyDescent="0.25">
      <c r="A61" s="31"/>
      <c r="B61" s="31"/>
      <c r="C61" s="31"/>
      <c r="D61" s="59"/>
      <c r="E61" s="60"/>
      <c r="F61" s="32"/>
      <c r="G61" s="33"/>
      <c r="H61" s="32"/>
      <c r="I61" s="33"/>
      <c r="J61" s="32"/>
      <c r="K61" s="33"/>
      <c r="L61" s="32"/>
      <c r="M61" s="33"/>
      <c r="N61" s="32"/>
      <c r="O61" s="33"/>
      <c r="P61" s="32"/>
      <c r="Q61" s="33"/>
      <c r="R61" s="32"/>
      <c r="S61" s="33"/>
      <c r="T61" s="32"/>
      <c r="U61" s="33"/>
      <c r="V61" s="32"/>
      <c r="W61" s="33"/>
    </row>
    <row r="62" spans="1:23" ht="14.4" customHeight="1" x14ac:dyDescent="0.25">
      <c r="A62" s="31" t="s">
        <v>67</v>
      </c>
      <c r="B62" s="31"/>
      <c r="C62" s="31" t="s">
        <v>268</v>
      </c>
      <c r="D62" s="59">
        <v>5</v>
      </c>
      <c r="E62" s="60" t="s">
        <v>279</v>
      </c>
      <c r="F62" s="32">
        <f t="shared" ref="F62:F65" si="69">N62</f>
        <v>85</v>
      </c>
      <c r="G62" s="33">
        <f>$D62*F62</f>
        <v>425</v>
      </c>
      <c r="H62" s="32">
        <f>L62</f>
        <v>38</v>
      </c>
      <c r="I62" s="33">
        <f>$D62*H62</f>
        <v>190</v>
      </c>
      <c r="J62" s="32">
        <f t="shared" ref="J62:J65" si="70">$H62*$K$11</f>
        <v>37.24</v>
      </c>
      <c r="K62" s="33">
        <f>$D62*J62</f>
        <v>186.20000000000002</v>
      </c>
      <c r="L62" s="32">
        <v>38</v>
      </c>
      <c r="M62" s="33">
        <f>$D62*L62</f>
        <v>190</v>
      </c>
      <c r="N62" s="32">
        <v>85</v>
      </c>
      <c r="O62" s="33">
        <f>$D62*N62</f>
        <v>425</v>
      </c>
      <c r="P62" s="32">
        <v>39.5</v>
      </c>
      <c r="Q62" s="33">
        <f t="shared" ref="Q62" si="71">$D62*P62</f>
        <v>197.5</v>
      </c>
      <c r="R62" s="32">
        <v>65.2</v>
      </c>
      <c r="S62" s="33">
        <f t="shared" ref="S62" si="72">$D62*R62</f>
        <v>326</v>
      </c>
      <c r="T62" s="32">
        <v>62</v>
      </c>
      <c r="U62" s="33">
        <f t="shared" ref="U62" si="73">$D62*T62</f>
        <v>310</v>
      </c>
      <c r="V62" s="32"/>
      <c r="W62" s="33">
        <f>$D62*V62</f>
        <v>0</v>
      </c>
    </row>
    <row r="63" spans="1:23" ht="14.4" customHeight="1" x14ac:dyDescent="0.25">
      <c r="A63" s="31" t="s">
        <v>68</v>
      </c>
      <c r="B63" s="31" t="s">
        <v>220</v>
      </c>
      <c r="C63" s="31" t="s">
        <v>269</v>
      </c>
      <c r="D63" s="59">
        <v>1</v>
      </c>
      <c r="E63" s="60" t="s">
        <v>279</v>
      </c>
      <c r="F63" s="32">
        <f t="shared" si="69"/>
        <v>95</v>
      </c>
      <c r="G63" s="33" t="s">
        <v>285</v>
      </c>
      <c r="H63" s="32">
        <f>L63</f>
        <v>48</v>
      </c>
      <c r="I63" s="33" t="s">
        <v>285</v>
      </c>
      <c r="J63" s="32">
        <f t="shared" si="70"/>
        <v>47.04</v>
      </c>
      <c r="K63" s="33" t="s">
        <v>285</v>
      </c>
      <c r="L63" s="32">
        <v>48</v>
      </c>
      <c r="M63" s="33" t="s">
        <v>285</v>
      </c>
      <c r="N63" s="32">
        <v>95</v>
      </c>
      <c r="O63" s="33" t="s">
        <v>285</v>
      </c>
      <c r="P63" s="32">
        <v>48.5</v>
      </c>
      <c r="Q63" s="33" t="s">
        <v>285</v>
      </c>
      <c r="R63" s="32">
        <v>95</v>
      </c>
      <c r="S63" s="33" t="s">
        <v>285</v>
      </c>
      <c r="T63" s="32">
        <v>68.7</v>
      </c>
      <c r="U63" s="33" t="s">
        <v>285</v>
      </c>
      <c r="V63" s="32"/>
      <c r="W63" s="37" t="s">
        <v>285</v>
      </c>
    </row>
    <row r="64" spans="1:23" ht="14.4" customHeight="1" x14ac:dyDescent="0.25">
      <c r="A64" s="31" t="s">
        <v>69</v>
      </c>
      <c r="B64" s="31"/>
      <c r="C64" s="31" t="s">
        <v>270</v>
      </c>
      <c r="D64" s="59">
        <v>5.6</v>
      </c>
      <c r="E64" s="60" t="s">
        <v>279</v>
      </c>
      <c r="F64" s="32">
        <f t="shared" si="69"/>
        <v>52</v>
      </c>
      <c r="G64" s="33">
        <f>$D64*F64</f>
        <v>291.2</v>
      </c>
      <c r="H64" s="32">
        <v>65</v>
      </c>
      <c r="I64" s="33">
        <f>$D64*H64</f>
        <v>364</v>
      </c>
      <c r="J64" s="32">
        <f t="shared" si="70"/>
        <v>63.699999999999996</v>
      </c>
      <c r="K64" s="33">
        <f>$D64*J64</f>
        <v>356.71999999999997</v>
      </c>
      <c r="L64" s="32">
        <v>65</v>
      </c>
      <c r="M64" s="33">
        <f>$D64*L64</f>
        <v>364</v>
      </c>
      <c r="N64" s="32">
        <v>52</v>
      </c>
      <c r="O64" s="33">
        <f>$D64*N64</f>
        <v>291.2</v>
      </c>
      <c r="P64" s="32">
        <v>90</v>
      </c>
      <c r="Q64" s="33">
        <f t="shared" ref="Q64" si="74">$D64*P64</f>
        <v>503.99999999999994</v>
      </c>
      <c r="R64" s="32">
        <v>84.4</v>
      </c>
      <c r="S64" s="33">
        <f t="shared" ref="S64:S65" si="75">$D64*R64</f>
        <v>472.64</v>
      </c>
      <c r="T64" s="32">
        <v>171.8</v>
      </c>
      <c r="U64" s="33">
        <f t="shared" ref="U64" si="76">$D64*T64</f>
        <v>962.08</v>
      </c>
      <c r="V64" s="32"/>
      <c r="W64" s="33">
        <f>$D64*V64</f>
        <v>0</v>
      </c>
    </row>
    <row r="65" spans="1:23" ht="14.4" customHeight="1" x14ac:dyDescent="0.25">
      <c r="A65" s="31" t="s">
        <v>70</v>
      </c>
      <c r="B65" s="31"/>
      <c r="C65" s="31" t="s">
        <v>271</v>
      </c>
      <c r="D65" s="59">
        <v>7.7</v>
      </c>
      <c r="E65" s="60" t="s">
        <v>279</v>
      </c>
      <c r="F65" s="32">
        <f t="shared" si="69"/>
        <v>4.5</v>
      </c>
      <c r="G65" s="33">
        <f>$D65*F65</f>
        <v>34.65</v>
      </c>
      <c r="H65" s="32">
        <v>5</v>
      </c>
      <c r="I65" s="33">
        <f>$D65*H65</f>
        <v>38.5</v>
      </c>
      <c r="J65" s="32">
        <f t="shared" si="70"/>
        <v>4.9000000000000004</v>
      </c>
      <c r="K65" s="33">
        <f>$D65*J65</f>
        <v>37.730000000000004</v>
      </c>
      <c r="L65" s="32">
        <v>6.5</v>
      </c>
      <c r="M65" s="33">
        <f>$D65*L65</f>
        <v>50.050000000000004</v>
      </c>
      <c r="N65" s="32">
        <v>4.5</v>
      </c>
      <c r="O65" s="33">
        <f>$D65*N65</f>
        <v>34.65</v>
      </c>
      <c r="P65" s="32">
        <v>4</v>
      </c>
      <c r="Q65" s="33">
        <f t="shared" ref="Q65" si="77">$D65*P65</f>
        <v>30.8</v>
      </c>
      <c r="R65" s="32">
        <v>6.9</v>
      </c>
      <c r="S65" s="33">
        <f t="shared" si="75"/>
        <v>53.13</v>
      </c>
      <c r="T65" s="32">
        <v>10.7</v>
      </c>
      <c r="U65" s="33">
        <f t="shared" ref="U65" si="78">$D65*T65</f>
        <v>82.39</v>
      </c>
      <c r="V65" s="32"/>
      <c r="W65" s="33">
        <f>$D65*V65</f>
        <v>0</v>
      </c>
    </row>
    <row r="66" spans="1:23" ht="14.4" customHeight="1" x14ac:dyDescent="0.25">
      <c r="A66" s="38" t="s">
        <v>66</v>
      </c>
      <c r="B66" s="38"/>
      <c r="C66" s="38" t="s">
        <v>267</v>
      </c>
      <c r="D66" s="63"/>
      <c r="E66" s="64"/>
      <c r="F66" s="39"/>
      <c r="G66" s="40">
        <f>SUM(G62:G65)</f>
        <v>750.85</v>
      </c>
      <c r="H66" s="39"/>
      <c r="I66" s="40">
        <f>SUM(I62:I65)</f>
        <v>592.5</v>
      </c>
      <c r="J66" s="39"/>
      <c r="K66" s="40">
        <f>SUM(K62:K65)</f>
        <v>580.65</v>
      </c>
      <c r="L66" s="39"/>
      <c r="M66" s="40">
        <f>SUM(M62:M65)</f>
        <v>604.04999999999995</v>
      </c>
      <c r="N66" s="39"/>
      <c r="O66" s="40">
        <f>SUM(O62:O65)</f>
        <v>750.85</v>
      </c>
      <c r="P66" s="39"/>
      <c r="Q66" s="40">
        <f>SUM(Q62:Q65)</f>
        <v>732.3</v>
      </c>
      <c r="R66" s="39"/>
      <c r="S66" s="40">
        <f>SUM(S62:S65)</f>
        <v>851.77</v>
      </c>
      <c r="T66" s="39"/>
      <c r="U66" s="40">
        <f>SUM(U62:U65)</f>
        <v>1354.47</v>
      </c>
      <c r="V66" s="39"/>
      <c r="W66" s="40">
        <f>SUM(W62:W65)</f>
        <v>0</v>
      </c>
    </row>
    <row r="67" spans="1:23" ht="14.4" customHeight="1" x14ac:dyDescent="0.25">
      <c r="A67" s="31"/>
      <c r="B67" s="31"/>
      <c r="C67" s="31"/>
      <c r="D67" s="59"/>
      <c r="E67" s="60"/>
      <c r="F67" s="32"/>
      <c r="G67" s="33"/>
      <c r="H67" s="32"/>
      <c r="I67" s="33"/>
      <c r="J67" s="32"/>
      <c r="K67" s="33"/>
      <c r="L67" s="32"/>
      <c r="M67" s="33"/>
      <c r="N67" s="32"/>
      <c r="O67" s="33"/>
      <c r="P67" s="32"/>
      <c r="Q67" s="33"/>
      <c r="R67" s="32"/>
      <c r="S67" s="33"/>
      <c r="T67" s="32"/>
      <c r="U67" s="33"/>
      <c r="V67" s="32"/>
      <c r="W67" s="33"/>
    </row>
    <row r="68" spans="1:23" ht="14.4" customHeight="1" x14ac:dyDescent="0.25">
      <c r="A68" s="34" t="s">
        <v>71</v>
      </c>
      <c r="B68" s="34"/>
      <c r="C68" s="34" t="s">
        <v>272</v>
      </c>
      <c r="D68" s="61"/>
      <c r="E68" s="62"/>
      <c r="F68" s="35"/>
      <c r="G68" s="36"/>
      <c r="H68" s="35"/>
      <c r="I68" s="36"/>
      <c r="J68" s="35"/>
      <c r="K68" s="36"/>
      <c r="L68" s="35"/>
      <c r="M68" s="36"/>
      <c r="N68" s="35"/>
      <c r="O68" s="36"/>
      <c r="P68" s="35"/>
      <c r="Q68" s="36"/>
      <c r="R68" s="35"/>
      <c r="S68" s="36"/>
      <c r="T68" s="35"/>
      <c r="U68" s="36"/>
      <c r="V68" s="35"/>
      <c r="W68" s="36"/>
    </row>
    <row r="69" spans="1:23" ht="14.4" customHeight="1" x14ac:dyDescent="0.25">
      <c r="A69" s="31" t="s">
        <v>73</v>
      </c>
      <c r="B69" s="31"/>
      <c r="C69" s="31" t="s">
        <v>223</v>
      </c>
      <c r="D69" s="59">
        <v>1414</v>
      </c>
      <c r="E69" s="60" t="s">
        <v>278</v>
      </c>
      <c r="F69" s="32">
        <f t="shared" ref="F69:F95" si="79">N69</f>
        <v>59</v>
      </c>
      <c r="G69" s="33">
        <f t="shared" ref="G69:G74" si="80">$D69*F69</f>
        <v>83426</v>
      </c>
      <c r="H69" s="32">
        <v>54</v>
      </c>
      <c r="I69" s="33">
        <f t="shared" ref="I69:I74" si="81">$D69*H69</f>
        <v>76356</v>
      </c>
      <c r="J69" s="32">
        <f t="shared" ref="J69:J95" si="82">$H69*$K$11</f>
        <v>52.92</v>
      </c>
      <c r="K69" s="33">
        <f t="shared" ref="K69:K74" si="83">$D69*J69</f>
        <v>74828.88</v>
      </c>
      <c r="L69" s="32">
        <v>54</v>
      </c>
      <c r="M69" s="33">
        <f t="shared" ref="M69:M74" si="84">$D69*L69</f>
        <v>76356</v>
      </c>
      <c r="N69" s="32">
        <v>59</v>
      </c>
      <c r="O69" s="33">
        <f t="shared" ref="O69:O74" si="85">$D69*N69</f>
        <v>83426</v>
      </c>
      <c r="P69" s="32">
        <v>59.95</v>
      </c>
      <c r="Q69" s="33">
        <f t="shared" ref="Q69" si="86">$D69*P69</f>
        <v>84769.3</v>
      </c>
      <c r="R69" s="32">
        <v>54.1</v>
      </c>
      <c r="S69" s="33">
        <f t="shared" ref="S69:S74" si="87">$D69*R69</f>
        <v>76497.400000000009</v>
      </c>
      <c r="T69" s="32">
        <v>64.3</v>
      </c>
      <c r="U69" s="33">
        <f t="shared" ref="U69" si="88">$D69*T69</f>
        <v>90920.2</v>
      </c>
      <c r="V69" s="32"/>
      <c r="W69" s="33">
        <f t="shared" ref="W69:W74" si="89">$D69*V69</f>
        <v>0</v>
      </c>
    </row>
    <row r="70" spans="1:23" ht="14.4" customHeight="1" x14ac:dyDescent="0.25">
      <c r="A70" s="31" t="s">
        <v>74</v>
      </c>
      <c r="B70" s="31"/>
      <c r="C70" s="31" t="s">
        <v>224</v>
      </c>
      <c r="D70" s="59">
        <v>3</v>
      </c>
      <c r="E70" s="60" t="s">
        <v>278</v>
      </c>
      <c r="F70" s="32">
        <f t="shared" si="79"/>
        <v>59.9</v>
      </c>
      <c r="G70" s="33">
        <f t="shared" si="80"/>
        <v>179.7</v>
      </c>
      <c r="H70" s="32">
        <v>56</v>
      </c>
      <c r="I70" s="33">
        <f t="shared" si="81"/>
        <v>168</v>
      </c>
      <c r="J70" s="32">
        <f t="shared" si="82"/>
        <v>54.879999999999995</v>
      </c>
      <c r="K70" s="33">
        <f t="shared" si="83"/>
        <v>164.64</v>
      </c>
      <c r="L70" s="32">
        <v>56</v>
      </c>
      <c r="M70" s="33">
        <f t="shared" si="84"/>
        <v>168</v>
      </c>
      <c r="N70" s="32">
        <v>59.9</v>
      </c>
      <c r="O70" s="33">
        <f t="shared" si="85"/>
        <v>179.7</v>
      </c>
      <c r="P70" s="32">
        <v>60.95</v>
      </c>
      <c r="Q70" s="33">
        <f t="shared" ref="Q70" si="90">$D70*P70</f>
        <v>182.85000000000002</v>
      </c>
      <c r="R70" s="32">
        <v>55.25</v>
      </c>
      <c r="S70" s="33">
        <f t="shared" si="87"/>
        <v>165.75</v>
      </c>
      <c r="T70" s="32">
        <v>97.4</v>
      </c>
      <c r="U70" s="33">
        <f t="shared" ref="U70" si="91">$D70*T70</f>
        <v>292.20000000000005</v>
      </c>
      <c r="V70" s="32"/>
      <c r="W70" s="33">
        <f t="shared" si="89"/>
        <v>0</v>
      </c>
    </row>
    <row r="71" spans="1:23" ht="14.4" customHeight="1" x14ac:dyDescent="0.25">
      <c r="A71" s="31" t="s">
        <v>75</v>
      </c>
      <c r="B71" s="31"/>
      <c r="C71" s="31" t="s">
        <v>273</v>
      </c>
      <c r="D71" s="59">
        <v>3</v>
      </c>
      <c r="E71" s="60" t="s">
        <v>278</v>
      </c>
      <c r="F71" s="32">
        <f t="shared" si="79"/>
        <v>64</v>
      </c>
      <c r="G71" s="33">
        <f t="shared" si="80"/>
        <v>192</v>
      </c>
      <c r="H71" s="32">
        <v>85</v>
      </c>
      <c r="I71" s="33">
        <f t="shared" si="81"/>
        <v>255</v>
      </c>
      <c r="J71" s="32">
        <f t="shared" si="82"/>
        <v>83.3</v>
      </c>
      <c r="K71" s="33">
        <f t="shared" si="83"/>
        <v>249.89999999999998</v>
      </c>
      <c r="L71" s="32">
        <v>85</v>
      </c>
      <c r="M71" s="33">
        <f t="shared" si="84"/>
        <v>255</v>
      </c>
      <c r="N71" s="32">
        <v>64</v>
      </c>
      <c r="O71" s="33">
        <f t="shared" si="85"/>
        <v>192</v>
      </c>
      <c r="P71" s="32">
        <v>62.95</v>
      </c>
      <c r="Q71" s="33">
        <f t="shared" ref="Q71" si="92">$D71*P71</f>
        <v>188.85000000000002</v>
      </c>
      <c r="R71" s="32">
        <v>56.85</v>
      </c>
      <c r="S71" s="33">
        <f t="shared" si="87"/>
        <v>170.55</v>
      </c>
      <c r="T71" s="32">
        <v>91.3</v>
      </c>
      <c r="U71" s="33">
        <f t="shared" ref="U71" si="93">$D71*T71</f>
        <v>273.89999999999998</v>
      </c>
      <c r="V71" s="32"/>
      <c r="W71" s="33">
        <f t="shared" si="89"/>
        <v>0</v>
      </c>
    </row>
    <row r="72" spans="1:23" ht="14.4" customHeight="1" x14ac:dyDescent="0.25">
      <c r="A72" s="31" t="s">
        <v>76</v>
      </c>
      <c r="B72" s="31"/>
      <c r="C72" s="31" t="s">
        <v>274</v>
      </c>
      <c r="D72" s="59">
        <v>23</v>
      </c>
      <c r="E72" s="60" t="s">
        <v>278</v>
      </c>
      <c r="F72" s="32">
        <f t="shared" si="79"/>
        <v>62</v>
      </c>
      <c r="G72" s="33">
        <f t="shared" si="80"/>
        <v>1426</v>
      </c>
      <c r="H72" s="32">
        <v>65</v>
      </c>
      <c r="I72" s="33">
        <f t="shared" si="81"/>
        <v>1495</v>
      </c>
      <c r="J72" s="32">
        <f t="shared" si="82"/>
        <v>63.699999999999996</v>
      </c>
      <c r="K72" s="33">
        <f t="shared" si="83"/>
        <v>1465.1</v>
      </c>
      <c r="L72" s="32">
        <v>65</v>
      </c>
      <c r="M72" s="33">
        <f t="shared" si="84"/>
        <v>1495</v>
      </c>
      <c r="N72" s="32">
        <v>62</v>
      </c>
      <c r="O72" s="33">
        <f t="shared" si="85"/>
        <v>1426</v>
      </c>
      <c r="P72" s="32">
        <v>86.5</v>
      </c>
      <c r="Q72" s="33">
        <f t="shared" ref="Q72" si="94">$D72*P72</f>
        <v>1989.5</v>
      </c>
      <c r="R72" s="32">
        <v>66.2</v>
      </c>
      <c r="S72" s="33">
        <f t="shared" si="87"/>
        <v>1522.6000000000001</v>
      </c>
      <c r="T72" s="32">
        <v>68.099999999999994</v>
      </c>
      <c r="U72" s="33">
        <f t="shared" ref="U72" si="95">$D72*T72</f>
        <v>1566.3</v>
      </c>
      <c r="V72" s="32"/>
      <c r="W72" s="33">
        <f t="shared" si="89"/>
        <v>0</v>
      </c>
    </row>
    <row r="73" spans="1:23" ht="14.4" customHeight="1" x14ac:dyDescent="0.25">
      <c r="A73" s="31" t="s">
        <v>77</v>
      </c>
      <c r="B73" s="31"/>
      <c r="C73" s="31" t="s">
        <v>225</v>
      </c>
      <c r="D73" s="59">
        <v>6</v>
      </c>
      <c r="E73" s="60" t="s">
        <v>278</v>
      </c>
      <c r="F73" s="32">
        <f t="shared" si="79"/>
        <v>66</v>
      </c>
      <c r="G73" s="33">
        <f t="shared" si="80"/>
        <v>396</v>
      </c>
      <c r="H73" s="32">
        <v>65</v>
      </c>
      <c r="I73" s="33">
        <f t="shared" si="81"/>
        <v>390</v>
      </c>
      <c r="J73" s="32">
        <f t="shared" si="82"/>
        <v>63.699999999999996</v>
      </c>
      <c r="K73" s="33">
        <f t="shared" si="83"/>
        <v>382.2</v>
      </c>
      <c r="L73" s="32">
        <v>65</v>
      </c>
      <c r="M73" s="33">
        <f t="shared" si="84"/>
        <v>390</v>
      </c>
      <c r="N73" s="32">
        <v>66</v>
      </c>
      <c r="O73" s="33">
        <f t="shared" si="85"/>
        <v>396</v>
      </c>
      <c r="P73" s="32">
        <v>85.5</v>
      </c>
      <c r="Q73" s="33">
        <f t="shared" ref="Q73" si="96">$D73*P73</f>
        <v>513</v>
      </c>
      <c r="R73" s="32">
        <v>77.5</v>
      </c>
      <c r="S73" s="33">
        <f t="shared" si="87"/>
        <v>465</v>
      </c>
      <c r="T73" s="32">
        <v>83.7</v>
      </c>
      <c r="U73" s="33">
        <f t="shared" ref="U73" si="97">$D73*T73</f>
        <v>502.20000000000005</v>
      </c>
      <c r="V73" s="32"/>
      <c r="W73" s="33">
        <f t="shared" si="89"/>
        <v>0</v>
      </c>
    </row>
    <row r="74" spans="1:23" ht="14.4" customHeight="1" x14ac:dyDescent="0.25">
      <c r="A74" s="31" t="s">
        <v>78</v>
      </c>
      <c r="B74" s="31"/>
      <c r="C74" s="31" t="s">
        <v>226</v>
      </c>
      <c r="D74" s="59">
        <v>3</v>
      </c>
      <c r="E74" s="60" t="s">
        <v>278</v>
      </c>
      <c r="F74" s="32">
        <f t="shared" si="79"/>
        <v>69</v>
      </c>
      <c r="G74" s="33">
        <f t="shared" si="80"/>
        <v>207</v>
      </c>
      <c r="H74" s="32">
        <v>65</v>
      </c>
      <c r="I74" s="33">
        <f t="shared" si="81"/>
        <v>195</v>
      </c>
      <c r="J74" s="32">
        <f t="shared" si="82"/>
        <v>63.699999999999996</v>
      </c>
      <c r="K74" s="33">
        <f t="shared" si="83"/>
        <v>191.1</v>
      </c>
      <c r="L74" s="32">
        <v>65</v>
      </c>
      <c r="M74" s="33">
        <f t="shared" si="84"/>
        <v>195</v>
      </c>
      <c r="N74" s="32">
        <v>69</v>
      </c>
      <c r="O74" s="33">
        <f t="shared" si="85"/>
        <v>207</v>
      </c>
      <c r="P74" s="32">
        <v>95</v>
      </c>
      <c r="Q74" s="33">
        <f t="shared" ref="Q74" si="98">$D74*P74</f>
        <v>285</v>
      </c>
      <c r="R74" s="32">
        <v>79.900000000000006</v>
      </c>
      <c r="S74" s="33">
        <f t="shared" si="87"/>
        <v>239.70000000000002</v>
      </c>
      <c r="T74" s="32">
        <v>104.5</v>
      </c>
      <c r="U74" s="33">
        <f t="shared" ref="U74" si="99">$D74*T74</f>
        <v>313.5</v>
      </c>
      <c r="V74" s="32"/>
      <c r="W74" s="33">
        <f t="shared" si="89"/>
        <v>0</v>
      </c>
    </row>
    <row r="75" spans="1:23" ht="14.4" customHeight="1" x14ac:dyDescent="0.25">
      <c r="A75" s="31" t="s">
        <v>79</v>
      </c>
      <c r="B75" s="31" t="s">
        <v>220</v>
      </c>
      <c r="C75" s="31" t="s">
        <v>227</v>
      </c>
      <c r="D75" s="59">
        <v>10</v>
      </c>
      <c r="E75" s="60" t="s">
        <v>278</v>
      </c>
      <c r="F75" s="32">
        <f t="shared" si="79"/>
        <v>19.75</v>
      </c>
      <c r="G75" s="33" t="s">
        <v>285</v>
      </c>
      <c r="H75" s="32">
        <v>6.95</v>
      </c>
      <c r="I75" s="33" t="s">
        <v>285</v>
      </c>
      <c r="J75" s="32">
        <f t="shared" si="82"/>
        <v>6.8109999999999999</v>
      </c>
      <c r="K75" s="33" t="s">
        <v>285</v>
      </c>
      <c r="L75" s="32">
        <v>6.95</v>
      </c>
      <c r="M75" s="33" t="s">
        <v>285</v>
      </c>
      <c r="N75" s="32">
        <v>19.75</v>
      </c>
      <c r="O75" s="33" t="s">
        <v>285</v>
      </c>
      <c r="P75" s="32">
        <v>5</v>
      </c>
      <c r="Q75" s="33" t="s">
        <v>285</v>
      </c>
      <c r="R75" s="32">
        <v>18</v>
      </c>
      <c r="S75" s="33" t="s">
        <v>285</v>
      </c>
      <c r="T75" s="32">
        <v>121.3</v>
      </c>
      <c r="U75" s="33" t="s">
        <v>285</v>
      </c>
      <c r="V75" s="32"/>
      <c r="W75" s="37" t="s">
        <v>285</v>
      </c>
    </row>
    <row r="76" spans="1:23" ht="14.4" customHeight="1" x14ac:dyDescent="0.25">
      <c r="A76" s="31" t="s">
        <v>80</v>
      </c>
      <c r="B76" s="31" t="s">
        <v>220</v>
      </c>
      <c r="C76" s="31" t="s">
        <v>228</v>
      </c>
      <c r="D76" s="59">
        <v>1</v>
      </c>
      <c r="E76" s="60" t="s">
        <v>279</v>
      </c>
      <c r="F76" s="32">
        <f t="shared" si="79"/>
        <v>29</v>
      </c>
      <c r="G76" s="33" t="s">
        <v>285</v>
      </c>
      <c r="H76" s="32">
        <v>2</v>
      </c>
      <c r="I76" s="33" t="s">
        <v>285</v>
      </c>
      <c r="J76" s="32">
        <f t="shared" si="82"/>
        <v>1.96</v>
      </c>
      <c r="K76" s="33" t="s">
        <v>285</v>
      </c>
      <c r="L76" s="32">
        <v>2</v>
      </c>
      <c r="M76" s="33" t="s">
        <v>285</v>
      </c>
      <c r="N76" s="32">
        <v>29</v>
      </c>
      <c r="O76" s="33" t="s">
        <v>285</v>
      </c>
      <c r="P76" s="32">
        <v>12.5</v>
      </c>
      <c r="Q76" s="33" t="s">
        <v>285</v>
      </c>
      <c r="R76" s="32">
        <v>46.2</v>
      </c>
      <c r="S76" s="33" t="s">
        <v>285</v>
      </c>
      <c r="T76" s="32">
        <v>110.4</v>
      </c>
      <c r="U76" s="33" t="s">
        <v>285</v>
      </c>
      <c r="V76" s="32"/>
      <c r="W76" s="37" t="s">
        <v>285</v>
      </c>
    </row>
    <row r="77" spans="1:23" ht="14.4" customHeight="1" x14ac:dyDescent="0.25">
      <c r="A77" s="31" t="s">
        <v>81</v>
      </c>
      <c r="B77" s="31"/>
      <c r="C77" s="31" t="s">
        <v>229</v>
      </c>
      <c r="D77" s="59">
        <v>120</v>
      </c>
      <c r="E77" s="60" t="s">
        <v>279</v>
      </c>
      <c r="F77" s="32">
        <f t="shared" si="79"/>
        <v>5.95</v>
      </c>
      <c r="G77" s="33">
        <f>$D77*F77</f>
        <v>714</v>
      </c>
      <c r="H77" s="32">
        <v>7.5</v>
      </c>
      <c r="I77" s="33">
        <f>$D77*H77</f>
        <v>900</v>
      </c>
      <c r="J77" s="32">
        <f t="shared" si="82"/>
        <v>7.35</v>
      </c>
      <c r="K77" s="33">
        <f>$D77*J77</f>
        <v>882</v>
      </c>
      <c r="L77" s="32">
        <v>7.5</v>
      </c>
      <c r="M77" s="33">
        <f>$D77*L77</f>
        <v>900</v>
      </c>
      <c r="N77" s="32">
        <v>5.95</v>
      </c>
      <c r="O77" s="33">
        <f>$D77*N77</f>
        <v>714</v>
      </c>
      <c r="P77" s="32">
        <v>28.2</v>
      </c>
      <c r="Q77" s="33">
        <f t="shared" ref="Q77" si="100">$D77*P77</f>
        <v>3384</v>
      </c>
      <c r="R77" s="32">
        <v>11.5</v>
      </c>
      <c r="S77" s="33">
        <f t="shared" ref="S77" si="101">$D77*R77</f>
        <v>1380</v>
      </c>
      <c r="T77" s="32">
        <v>31.5</v>
      </c>
      <c r="U77" s="33">
        <f t="shared" ref="U77" si="102">$D77*T77</f>
        <v>3780</v>
      </c>
      <c r="V77" s="32"/>
      <c r="W77" s="33">
        <f>$D77*V77</f>
        <v>0</v>
      </c>
    </row>
    <row r="78" spans="1:23" ht="14.4" customHeight="1" x14ac:dyDescent="0.25">
      <c r="A78" s="31" t="s">
        <v>82</v>
      </c>
      <c r="B78" s="31" t="s">
        <v>220</v>
      </c>
      <c r="C78" s="31" t="s">
        <v>230</v>
      </c>
      <c r="D78" s="59">
        <v>1</v>
      </c>
      <c r="E78" s="60" t="s">
        <v>278</v>
      </c>
      <c r="F78" s="32">
        <f t="shared" si="79"/>
        <v>19.7</v>
      </c>
      <c r="G78" s="33" t="s">
        <v>285</v>
      </c>
      <c r="H78" s="86">
        <v>12</v>
      </c>
      <c r="I78" s="33" t="s">
        <v>285</v>
      </c>
      <c r="J78" s="32">
        <f t="shared" si="82"/>
        <v>11.76</v>
      </c>
      <c r="K78" s="33" t="s">
        <v>285</v>
      </c>
      <c r="L78" s="32">
        <v>22</v>
      </c>
      <c r="M78" s="33" t="s">
        <v>285</v>
      </c>
      <c r="N78" s="32">
        <v>19.7</v>
      </c>
      <c r="O78" s="33" t="s">
        <v>285</v>
      </c>
      <c r="P78" s="32">
        <v>14.5</v>
      </c>
      <c r="Q78" s="33" t="s">
        <v>285</v>
      </c>
      <c r="R78" s="32">
        <v>18.5</v>
      </c>
      <c r="S78" s="33" t="s">
        <v>285</v>
      </c>
      <c r="T78" s="32">
        <v>27.4</v>
      </c>
      <c r="U78" s="33" t="s">
        <v>285</v>
      </c>
      <c r="V78" s="32"/>
      <c r="W78" s="37" t="s">
        <v>285</v>
      </c>
    </row>
    <row r="79" spans="1:23" ht="14.4" customHeight="1" x14ac:dyDescent="0.25">
      <c r="A79" s="31" t="s">
        <v>83</v>
      </c>
      <c r="B79" s="31" t="s">
        <v>220</v>
      </c>
      <c r="C79" s="31" t="s">
        <v>231</v>
      </c>
      <c r="D79" s="59">
        <v>1</v>
      </c>
      <c r="E79" s="60" t="s">
        <v>278</v>
      </c>
      <c r="F79" s="32">
        <f t="shared" si="79"/>
        <v>4.5</v>
      </c>
      <c r="G79" s="33" t="s">
        <v>285</v>
      </c>
      <c r="H79" s="32">
        <v>5</v>
      </c>
      <c r="I79" s="33" t="s">
        <v>285</v>
      </c>
      <c r="J79" s="32">
        <f t="shared" si="82"/>
        <v>4.9000000000000004</v>
      </c>
      <c r="K79" s="33" t="s">
        <v>285</v>
      </c>
      <c r="L79" s="32">
        <v>6</v>
      </c>
      <c r="M79" s="33" t="s">
        <v>285</v>
      </c>
      <c r="N79" s="32">
        <v>4.5</v>
      </c>
      <c r="O79" s="33" t="s">
        <v>285</v>
      </c>
      <c r="P79" s="32">
        <v>4</v>
      </c>
      <c r="Q79" s="33" t="s">
        <v>285</v>
      </c>
      <c r="R79" s="75">
        <v>12</v>
      </c>
      <c r="S79" s="33" t="s">
        <v>285</v>
      </c>
      <c r="T79" s="32">
        <v>11.5</v>
      </c>
      <c r="U79" s="33" t="s">
        <v>285</v>
      </c>
      <c r="V79" s="32"/>
      <c r="W79" s="37" t="s">
        <v>285</v>
      </c>
    </row>
    <row r="80" spans="1:23" ht="14.4" customHeight="1" x14ac:dyDescent="0.25">
      <c r="A80" s="31" t="s">
        <v>84</v>
      </c>
      <c r="B80" s="31" t="s">
        <v>220</v>
      </c>
      <c r="C80" s="31" t="s">
        <v>232</v>
      </c>
      <c r="D80" s="59">
        <v>1</v>
      </c>
      <c r="E80" s="60" t="s">
        <v>278</v>
      </c>
      <c r="F80" s="32">
        <f t="shared" si="79"/>
        <v>4.5</v>
      </c>
      <c r="G80" s="33" t="s">
        <v>285</v>
      </c>
      <c r="H80" s="32">
        <v>10</v>
      </c>
      <c r="I80" s="33" t="s">
        <v>285</v>
      </c>
      <c r="J80" s="32">
        <f t="shared" si="82"/>
        <v>9.8000000000000007</v>
      </c>
      <c r="K80" s="33" t="s">
        <v>285</v>
      </c>
      <c r="L80" s="32">
        <v>15</v>
      </c>
      <c r="M80" s="33" t="s">
        <v>285</v>
      </c>
      <c r="N80" s="32">
        <v>4.5</v>
      </c>
      <c r="O80" s="33" t="s">
        <v>285</v>
      </c>
      <c r="P80" s="32">
        <v>5.2</v>
      </c>
      <c r="Q80" s="33" t="s">
        <v>285</v>
      </c>
      <c r="R80" s="32">
        <v>27.2</v>
      </c>
      <c r="S80" s="33" t="s">
        <v>285</v>
      </c>
      <c r="T80" s="32">
        <v>66.8</v>
      </c>
      <c r="U80" s="33" t="s">
        <v>285</v>
      </c>
      <c r="V80" s="32"/>
      <c r="W80" s="37" t="s">
        <v>285</v>
      </c>
    </row>
    <row r="81" spans="1:23" ht="14.4" customHeight="1" x14ac:dyDescent="0.25">
      <c r="A81" s="31" t="s">
        <v>85</v>
      </c>
      <c r="B81" s="31"/>
      <c r="C81" s="31" t="s">
        <v>233</v>
      </c>
      <c r="D81" s="59">
        <v>34</v>
      </c>
      <c r="E81" s="60" t="s">
        <v>280</v>
      </c>
      <c r="F81" s="32">
        <f t="shared" si="79"/>
        <v>275</v>
      </c>
      <c r="G81" s="33">
        <f>$D81*F81</f>
        <v>9350</v>
      </c>
      <c r="H81" s="87">
        <v>156</v>
      </c>
      <c r="I81" s="33">
        <f>$D81*H81</f>
        <v>5304</v>
      </c>
      <c r="J81" s="32">
        <f t="shared" si="82"/>
        <v>152.88</v>
      </c>
      <c r="K81" s="33">
        <f>$D81*J81</f>
        <v>5197.92</v>
      </c>
      <c r="L81" s="32">
        <v>73</v>
      </c>
      <c r="M81" s="33">
        <f>$D81*L81</f>
        <v>2482</v>
      </c>
      <c r="N81" s="32">
        <v>275</v>
      </c>
      <c r="O81" s="33">
        <f>$D81*N81</f>
        <v>9350</v>
      </c>
      <c r="P81" s="32">
        <v>272.10000000000002</v>
      </c>
      <c r="Q81" s="33">
        <f t="shared" ref="Q81" si="103">$D81*P81</f>
        <v>9251.4000000000015</v>
      </c>
      <c r="R81" s="75">
        <v>2.2000000000000002</v>
      </c>
      <c r="S81" s="33">
        <f t="shared" ref="S81:S83" si="104">$D81*R81</f>
        <v>74.800000000000011</v>
      </c>
      <c r="T81" s="32">
        <v>422.2</v>
      </c>
      <c r="U81" s="33">
        <f t="shared" ref="U81" si="105">$D81*T81</f>
        <v>14354.8</v>
      </c>
      <c r="V81" s="32"/>
      <c r="W81" s="33">
        <f>$D81*V81</f>
        <v>0</v>
      </c>
    </row>
    <row r="82" spans="1:23" ht="14.4" customHeight="1" x14ac:dyDescent="0.25">
      <c r="A82" s="31" t="s">
        <v>86</v>
      </c>
      <c r="B82" s="31"/>
      <c r="C82" s="31" t="s">
        <v>234</v>
      </c>
      <c r="D82" s="59">
        <v>6</v>
      </c>
      <c r="E82" s="60" t="s">
        <v>280</v>
      </c>
      <c r="F82" s="32">
        <f t="shared" si="79"/>
        <v>79</v>
      </c>
      <c r="G82" s="33">
        <f>$D82*F82</f>
        <v>474</v>
      </c>
      <c r="H82" s="32">
        <f>L82</f>
        <v>62</v>
      </c>
      <c r="I82" s="33">
        <f>$D82*H82</f>
        <v>372</v>
      </c>
      <c r="J82" s="32">
        <f t="shared" si="82"/>
        <v>60.76</v>
      </c>
      <c r="K82" s="33">
        <f>$D82*J82</f>
        <v>364.56</v>
      </c>
      <c r="L82" s="32">
        <v>62</v>
      </c>
      <c r="M82" s="33">
        <f>$D82*L82</f>
        <v>372</v>
      </c>
      <c r="N82" s="32">
        <v>79</v>
      </c>
      <c r="O82" s="33">
        <f>$D82*N82</f>
        <v>474</v>
      </c>
      <c r="P82" s="32">
        <v>65</v>
      </c>
      <c r="Q82" s="33">
        <f t="shared" ref="Q82" si="106">$D82*P82</f>
        <v>390</v>
      </c>
      <c r="R82" s="32">
        <v>102</v>
      </c>
      <c r="S82" s="33">
        <f t="shared" si="104"/>
        <v>612</v>
      </c>
      <c r="T82" s="32">
        <v>85.8</v>
      </c>
      <c r="U82" s="33">
        <f t="shared" ref="U82" si="107">$D82*T82</f>
        <v>514.79999999999995</v>
      </c>
      <c r="V82" s="32"/>
      <c r="W82" s="33">
        <f>$D82*V82</f>
        <v>0</v>
      </c>
    </row>
    <row r="83" spans="1:23" ht="14.4" customHeight="1" x14ac:dyDescent="0.25">
      <c r="A83" s="31" t="s">
        <v>87</v>
      </c>
      <c r="B83" s="31"/>
      <c r="C83" s="31" t="s">
        <v>235</v>
      </c>
      <c r="D83" s="59">
        <v>47</v>
      </c>
      <c r="E83" s="60" t="s">
        <v>280</v>
      </c>
      <c r="F83" s="32">
        <f t="shared" si="79"/>
        <v>84</v>
      </c>
      <c r="G83" s="33">
        <f>$D83*F83</f>
        <v>3948</v>
      </c>
      <c r="H83" s="32">
        <f>L83</f>
        <v>65</v>
      </c>
      <c r="I83" s="33">
        <f>$D83*H83</f>
        <v>3055</v>
      </c>
      <c r="J83" s="32">
        <f t="shared" si="82"/>
        <v>63.699999999999996</v>
      </c>
      <c r="K83" s="33">
        <f>$D83*J83</f>
        <v>2993.8999999999996</v>
      </c>
      <c r="L83" s="32">
        <v>65</v>
      </c>
      <c r="M83" s="33">
        <f>$D83*L83</f>
        <v>3055</v>
      </c>
      <c r="N83" s="32">
        <v>84</v>
      </c>
      <c r="O83" s="33">
        <f>$D83*N83</f>
        <v>3948</v>
      </c>
      <c r="P83" s="32">
        <v>65</v>
      </c>
      <c r="Q83" s="33">
        <f t="shared" ref="Q83" si="108">$D83*P83</f>
        <v>3055</v>
      </c>
      <c r="R83" s="32">
        <v>125</v>
      </c>
      <c r="S83" s="33">
        <f t="shared" si="104"/>
        <v>5875</v>
      </c>
      <c r="T83" s="32">
        <v>136.1</v>
      </c>
      <c r="U83" s="33">
        <f t="shared" ref="U83" si="109">$D83*T83</f>
        <v>6396.7</v>
      </c>
      <c r="V83" s="32"/>
      <c r="W83" s="33">
        <f>$D83*V83</f>
        <v>0</v>
      </c>
    </row>
    <row r="84" spans="1:23" ht="14.4" customHeight="1" x14ac:dyDescent="0.25">
      <c r="A84" s="31" t="s">
        <v>88</v>
      </c>
      <c r="B84" s="31" t="s">
        <v>220</v>
      </c>
      <c r="C84" s="31" t="s">
        <v>236</v>
      </c>
      <c r="D84" s="59">
        <v>1</v>
      </c>
      <c r="E84" s="60" t="s">
        <v>280</v>
      </c>
      <c r="F84" s="32">
        <f t="shared" si="79"/>
        <v>120</v>
      </c>
      <c r="G84" s="33" t="s">
        <v>285</v>
      </c>
      <c r="H84" s="32">
        <f>L84</f>
        <v>75</v>
      </c>
      <c r="I84" s="33" t="s">
        <v>285</v>
      </c>
      <c r="J84" s="32">
        <f t="shared" si="82"/>
        <v>73.5</v>
      </c>
      <c r="K84" s="33" t="s">
        <v>285</v>
      </c>
      <c r="L84" s="32">
        <v>75</v>
      </c>
      <c r="M84" s="33" t="s">
        <v>285</v>
      </c>
      <c r="N84" s="32">
        <v>120</v>
      </c>
      <c r="O84" s="33" t="s">
        <v>285</v>
      </c>
      <c r="P84" s="32">
        <v>90</v>
      </c>
      <c r="Q84" s="33" t="s">
        <v>285</v>
      </c>
      <c r="R84" s="32">
        <v>210</v>
      </c>
      <c r="S84" s="33" t="s">
        <v>285</v>
      </c>
      <c r="T84" s="32">
        <v>153.5</v>
      </c>
      <c r="U84" s="33" t="s">
        <v>285</v>
      </c>
      <c r="V84" s="32"/>
      <c r="W84" s="37" t="s">
        <v>285</v>
      </c>
    </row>
    <row r="85" spans="1:23" ht="14.4" customHeight="1" x14ac:dyDescent="0.25">
      <c r="A85" s="31" t="s">
        <v>89</v>
      </c>
      <c r="B85" s="31"/>
      <c r="C85" s="31" t="s">
        <v>237</v>
      </c>
      <c r="D85" s="59">
        <v>56</v>
      </c>
      <c r="E85" s="60" t="s">
        <v>280</v>
      </c>
      <c r="F85" s="32">
        <f t="shared" si="79"/>
        <v>117</v>
      </c>
      <c r="G85" s="33">
        <f>$D85*F85</f>
        <v>6552</v>
      </c>
      <c r="H85" s="87">
        <v>150</v>
      </c>
      <c r="I85" s="33">
        <f>$D85*H85</f>
        <v>8400</v>
      </c>
      <c r="J85" s="32">
        <f t="shared" si="82"/>
        <v>147</v>
      </c>
      <c r="K85" s="33">
        <f>$D85*J85</f>
        <v>8232</v>
      </c>
      <c r="L85" s="32">
        <v>250</v>
      </c>
      <c r="M85" s="33">
        <f>$D85*L85</f>
        <v>14000</v>
      </c>
      <c r="N85" s="32">
        <v>117</v>
      </c>
      <c r="O85" s="33">
        <f>$D85*N85</f>
        <v>6552</v>
      </c>
      <c r="P85" s="32">
        <v>295</v>
      </c>
      <c r="Q85" s="33">
        <f t="shared" ref="Q85" si="110">$D85*P85</f>
        <v>16520</v>
      </c>
      <c r="R85" s="32">
        <v>502</v>
      </c>
      <c r="S85" s="33">
        <f t="shared" ref="S85:S86" si="111">$D85*R85</f>
        <v>28112</v>
      </c>
      <c r="T85" s="32">
        <v>247.6</v>
      </c>
      <c r="U85" s="33">
        <f t="shared" ref="U85" si="112">$D85*T85</f>
        <v>13865.6</v>
      </c>
      <c r="V85" s="32"/>
      <c r="W85" s="33">
        <f>$D85*V85</f>
        <v>0</v>
      </c>
    </row>
    <row r="86" spans="1:23" ht="14.4" customHeight="1" x14ac:dyDescent="0.25">
      <c r="A86" s="31" t="s">
        <v>90</v>
      </c>
      <c r="B86" s="31"/>
      <c r="C86" s="31" t="s">
        <v>238</v>
      </c>
      <c r="D86" s="59">
        <v>17</v>
      </c>
      <c r="E86" s="60" t="s">
        <v>279</v>
      </c>
      <c r="F86" s="32">
        <f t="shared" si="79"/>
        <v>20</v>
      </c>
      <c r="G86" s="33">
        <f>$D86*F86</f>
        <v>340</v>
      </c>
      <c r="H86" s="32">
        <v>20</v>
      </c>
      <c r="I86" s="33">
        <f>$D86*H86</f>
        <v>340</v>
      </c>
      <c r="J86" s="32">
        <f t="shared" si="82"/>
        <v>19.600000000000001</v>
      </c>
      <c r="K86" s="33">
        <f>$D86*J86</f>
        <v>333.20000000000005</v>
      </c>
      <c r="L86" s="32">
        <v>20</v>
      </c>
      <c r="M86" s="33">
        <f>$D86*L86</f>
        <v>340</v>
      </c>
      <c r="N86" s="32">
        <v>20</v>
      </c>
      <c r="O86" s="33">
        <f>$D86*N86</f>
        <v>340</v>
      </c>
      <c r="P86" s="32">
        <v>28.9</v>
      </c>
      <c r="Q86" s="33">
        <f t="shared" ref="Q86" si="113">$D86*P86</f>
        <v>491.29999999999995</v>
      </c>
      <c r="R86" s="32">
        <v>38.5</v>
      </c>
      <c r="S86" s="33">
        <f t="shared" si="111"/>
        <v>654.5</v>
      </c>
      <c r="T86" s="32">
        <v>34.200000000000003</v>
      </c>
      <c r="U86" s="33">
        <f t="shared" ref="U86" si="114">$D86*T86</f>
        <v>581.40000000000009</v>
      </c>
      <c r="V86" s="32"/>
      <c r="W86" s="33">
        <f>$D86*V86</f>
        <v>0</v>
      </c>
    </row>
    <row r="87" spans="1:23" ht="14.4" customHeight="1" x14ac:dyDescent="0.25">
      <c r="A87" s="31" t="s">
        <v>91</v>
      </c>
      <c r="B87" s="31" t="s">
        <v>220</v>
      </c>
      <c r="C87" s="31" t="s">
        <v>239</v>
      </c>
      <c r="D87" s="59">
        <v>1</v>
      </c>
      <c r="E87" s="60" t="s">
        <v>280</v>
      </c>
      <c r="F87" s="32">
        <f t="shared" si="79"/>
        <v>7</v>
      </c>
      <c r="G87" s="33" t="s">
        <v>285</v>
      </c>
      <c r="H87" s="87">
        <v>3</v>
      </c>
      <c r="I87" s="33" t="s">
        <v>285</v>
      </c>
      <c r="J87" s="32">
        <f t="shared" si="82"/>
        <v>2.94</v>
      </c>
      <c r="K87" s="33" t="s">
        <v>285</v>
      </c>
      <c r="L87" s="32">
        <v>10</v>
      </c>
      <c r="M87" s="33" t="s">
        <v>285</v>
      </c>
      <c r="N87" s="32">
        <v>7</v>
      </c>
      <c r="O87" s="33" t="s">
        <v>285</v>
      </c>
      <c r="P87" s="32">
        <v>10</v>
      </c>
      <c r="Q87" s="33" t="s">
        <v>285</v>
      </c>
      <c r="R87" s="32">
        <v>12</v>
      </c>
      <c r="S87" s="33" t="s">
        <v>285</v>
      </c>
      <c r="T87" s="32">
        <v>8.4</v>
      </c>
      <c r="U87" s="33" t="s">
        <v>285</v>
      </c>
      <c r="V87" s="32"/>
      <c r="W87" s="37" t="s">
        <v>285</v>
      </c>
    </row>
    <row r="88" spans="1:23" ht="14.4" customHeight="1" x14ac:dyDescent="0.25">
      <c r="A88" s="31" t="s">
        <v>92</v>
      </c>
      <c r="B88" s="31" t="s">
        <v>220</v>
      </c>
      <c r="C88" s="31" t="s">
        <v>240</v>
      </c>
      <c r="D88" s="59">
        <v>1</v>
      </c>
      <c r="E88" s="60" t="s">
        <v>280</v>
      </c>
      <c r="F88" s="32">
        <f t="shared" si="79"/>
        <v>9</v>
      </c>
      <c r="G88" s="33" t="s">
        <v>285</v>
      </c>
      <c r="H88" s="87">
        <v>5</v>
      </c>
      <c r="I88" s="33" t="s">
        <v>285</v>
      </c>
      <c r="J88" s="32">
        <f t="shared" si="82"/>
        <v>4.9000000000000004</v>
      </c>
      <c r="K88" s="33" t="s">
        <v>285</v>
      </c>
      <c r="L88" s="32">
        <v>15</v>
      </c>
      <c r="M88" s="33" t="s">
        <v>285</v>
      </c>
      <c r="N88" s="32">
        <v>9</v>
      </c>
      <c r="O88" s="33" t="s">
        <v>285</v>
      </c>
      <c r="P88" s="32">
        <v>25</v>
      </c>
      <c r="Q88" s="33" t="s">
        <v>285</v>
      </c>
      <c r="R88" s="32">
        <v>20</v>
      </c>
      <c r="S88" s="33" t="s">
        <v>285</v>
      </c>
      <c r="T88" s="32">
        <v>9.6</v>
      </c>
      <c r="U88" s="33" t="s">
        <v>285</v>
      </c>
      <c r="V88" s="32"/>
      <c r="W88" s="37" t="s">
        <v>285</v>
      </c>
    </row>
    <row r="89" spans="1:23" ht="14.4" customHeight="1" x14ac:dyDescent="0.25">
      <c r="A89" s="31" t="s">
        <v>93</v>
      </c>
      <c r="B89" s="31" t="s">
        <v>220</v>
      </c>
      <c r="C89" s="31" t="s">
        <v>241</v>
      </c>
      <c r="D89" s="59">
        <v>1</v>
      </c>
      <c r="E89" s="60" t="s">
        <v>280</v>
      </c>
      <c r="F89" s="32">
        <f t="shared" si="79"/>
        <v>15</v>
      </c>
      <c r="G89" s="33" t="s">
        <v>285</v>
      </c>
      <c r="H89" s="87">
        <v>5</v>
      </c>
      <c r="I89" s="33" t="s">
        <v>285</v>
      </c>
      <c r="J89" s="32">
        <f t="shared" si="82"/>
        <v>4.9000000000000004</v>
      </c>
      <c r="K89" s="33" t="s">
        <v>285</v>
      </c>
      <c r="L89" s="32">
        <v>10</v>
      </c>
      <c r="M89" s="33" t="s">
        <v>285</v>
      </c>
      <c r="N89" s="32">
        <v>15</v>
      </c>
      <c r="O89" s="33" t="s">
        <v>285</v>
      </c>
      <c r="P89" s="32">
        <v>10</v>
      </c>
      <c r="Q89" s="33" t="s">
        <v>285</v>
      </c>
      <c r="R89" s="32">
        <v>25</v>
      </c>
      <c r="S89" s="33" t="s">
        <v>285</v>
      </c>
      <c r="T89" s="32">
        <v>4.9000000000000004</v>
      </c>
      <c r="U89" s="33" t="s">
        <v>285</v>
      </c>
      <c r="V89" s="32"/>
      <c r="W89" s="37" t="s">
        <v>285</v>
      </c>
    </row>
    <row r="90" spans="1:23" ht="14.4" customHeight="1" x14ac:dyDescent="0.25">
      <c r="A90" s="31" t="s">
        <v>94</v>
      </c>
      <c r="B90" s="31" t="s">
        <v>220</v>
      </c>
      <c r="C90" s="31" t="s">
        <v>242</v>
      </c>
      <c r="D90" s="59">
        <v>1</v>
      </c>
      <c r="E90" s="60" t="s">
        <v>280</v>
      </c>
      <c r="F90" s="32">
        <f t="shared" si="79"/>
        <v>17</v>
      </c>
      <c r="G90" s="33" t="s">
        <v>285</v>
      </c>
      <c r="H90" s="87">
        <v>7</v>
      </c>
      <c r="I90" s="33" t="s">
        <v>285</v>
      </c>
      <c r="J90" s="32">
        <f t="shared" si="82"/>
        <v>6.8599999999999994</v>
      </c>
      <c r="K90" s="33" t="s">
        <v>285</v>
      </c>
      <c r="L90" s="32">
        <v>15</v>
      </c>
      <c r="M90" s="33" t="s">
        <v>285</v>
      </c>
      <c r="N90" s="32">
        <v>17</v>
      </c>
      <c r="O90" s="33" t="s">
        <v>285</v>
      </c>
      <c r="P90" s="32">
        <v>25</v>
      </c>
      <c r="Q90" s="33" t="s">
        <v>285</v>
      </c>
      <c r="R90" s="32">
        <v>35</v>
      </c>
      <c r="S90" s="33" t="s">
        <v>285</v>
      </c>
      <c r="T90" s="32">
        <v>7.3</v>
      </c>
      <c r="U90" s="33" t="s">
        <v>285</v>
      </c>
      <c r="V90" s="32"/>
      <c r="W90" s="37" t="s">
        <v>285</v>
      </c>
    </row>
    <row r="91" spans="1:23" ht="14.4" customHeight="1" x14ac:dyDescent="0.25">
      <c r="A91" s="31" t="s">
        <v>95</v>
      </c>
      <c r="B91" s="31" t="s">
        <v>220</v>
      </c>
      <c r="C91" s="31" t="s">
        <v>243</v>
      </c>
      <c r="D91" s="59">
        <v>1</v>
      </c>
      <c r="E91" s="60" t="s">
        <v>280</v>
      </c>
      <c r="F91" s="32">
        <f t="shared" si="79"/>
        <v>6</v>
      </c>
      <c r="G91" s="33" t="s">
        <v>285</v>
      </c>
      <c r="H91" s="87">
        <v>8</v>
      </c>
      <c r="I91" s="33" t="s">
        <v>285</v>
      </c>
      <c r="J91" s="32">
        <f t="shared" si="82"/>
        <v>7.84</v>
      </c>
      <c r="K91" s="33" t="s">
        <v>285</v>
      </c>
      <c r="L91" s="32">
        <v>20</v>
      </c>
      <c r="M91" s="33" t="s">
        <v>285</v>
      </c>
      <c r="N91" s="32">
        <v>6</v>
      </c>
      <c r="O91" s="33" t="s">
        <v>285</v>
      </c>
      <c r="P91" s="32">
        <v>3.5</v>
      </c>
      <c r="Q91" s="33" t="s">
        <v>285</v>
      </c>
      <c r="R91" s="32">
        <v>8</v>
      </c>
      <c r="S91" s="33" t="s">
        <v>285</v>
      </c>
      <c r="T91" s="32">
        <v>3.9</v>
      </c>
      <c r="U91" s="33" t="s">
        <v>285</v>
      </c>
      <c r="V91" s="32"/>
      <c r="W91" s="37" t="s">
        <v>285</v>
      </c>
    </row>
    <row r="92" spans="1:23" ht="14.4" customHeight="1" x14ac:dyDescent="0.25">
      <c r="A92" s="31" t="s">
        <v>96</v>
      </c>
      <c r="B92" s="31" t="s">
        <v>220</v>
      </c>
      <c r="C92" s="31" t="s">
        <v>244</v>
      </c>
      <c r="D92" s="59">
        <v>1</v>
      </c>
      <c r="E92" s="60" t="s">
        <v>280</v>
      </c>
      <c r="F92" s="32">
        <f t="shared" si="79"/>
        <v>7</v>
      </c>
      <c r="G92" s="33" t="s">
        <v>285</v>
      </c>
      <c r="H92" s="87">
        <v>10</v>
      </c>
      <c r="I92" s="33" t="s">
        <v>285</v>
      </c>
      <c r="J92" s="32">
        <f t="shared" si="82"/>
        <v>9.8000000000000007</v>
      </c>
      <c r="K92" s="33" t="s">
        <v>285</v>
      </c>
      <c r="L92" s="32">
        <v>30</v>
      </c>
      <c r="M92" s="33" t="s">
        <v>285</v>
      </c>
      <c r="N92" s="32">
        <v>7</v>
      </c>
      <c r="O92" s="33" t="s">
        <v>285</v>
      </c>
      <c r="P92" s="32">
        <v>10</v>
      </c>
      <c r="Q92" s="33" t="s">
        <v>285</v>
      </c>
      <c r="R92" s="32">
        <v>18</v>
      </c>
      <c r="S92" s="33" t="s">
        <v>285</v>
      </c>
      <c r="T92" s="32">
        <v>5.6</v>
      </c>
      <c r="U92" s="33" t="s">
        <v>285</v>
      </c>
      <c r="V92" s="32"/>
      <c r="W92" s="37" t="s">
        <v>285</v>
      </c>
    </row>
    <row r="93" spans="1:23" ht="14.4" customHeight="1" x14ac:dyDescent="0.25">
      <c r="A93" s="31" t="s">
        <v>97</v>
      </c>
      <c r="B93" s="31" t="s">
        <v>220</v>
      </c>
      <c r="C93" s="31" t="s">
        <v>245</v>
      </c>
      <c r="D93" s="59">
        <v>1</v>
      </c>
      <c r="E93" s="60" t="s">
        <v>280</v>
      </c>
      <c r="F93" s="32">
        <f t="shared" si="79"/>
        <v>8</v>
      </c>
      <c r="G93" s="33" t="s">
        <v>285</v>
      </c>
      <c r="H93" s="87">
        <v>9</v>
      </c>
      <c r="I93" s="33" t="s">
        <v>285</v>
      </c>
      <c r="J93" s="32">
        <f t="shared" si="82"/>
        <v>8.82</v>
      </c>
      <c r="K93" s="33" t="s">
        <v>285</v>
      </c>
      <c r="L93" s="32">
        <v>20</v>
      </c>
      <c r="M93" s="33" t="s">
        <v>285</v>
      </c>
      <c r="N93" s="32">
        <v>8</v>
      </c>
      <c r="O93" s="33" t="s">
        <v>285</v>
      </c>
      <c r="P93" s="32">
        <v>3.5</v>
      </c>
      <c r="Q93" s="33" t="s">
        <v>285</v>
      </c>
      <c r="R93" s="32">
        <v>15</v>
      </c>
      <c r="S93" s="33" t="s">
        <v>285</v>
      </c>
      <c r="T93" s="32">
        <v>3.9</v>
      </c>
      <c r="U93" s="33" t="s">
        <v>285</v>
      </c>
      <c r="V93" s="32"/>
      <c r="W93" s="37" t="s">
        <v>285</v>
      </c>
    </row>
    <row r="94" spans="1:23" ht="14.4" customHeight="1" x14ac:dyDescent="0.25">
      <c r="A94" s="31" t="s">
        <v>98</v>
      </c>
      <c r="B94" s="31" t="s">
        <v>220</v>
      </c>
      <c r="C94" s="31" t="s">
        <v>246</v>
      </c>
      <c r="D94" s="59">
        <v>1</v>
      </c>
      <c r="E94" s="60" t="s">
        <v>280</v>
      </c>
      <c r="F94" s="32">
        <f t="shared" si="79"/>
        <v>8</v>
      </c>
      <c r="G94" s="33" t="s">
        <v>285</v>
      </c>
      <c r="H94" s="87">
        <v>12</v>
      </c>
      <c r="I94" s="33" t="s">
        <v>285</v>
      </c>
      <c r="J94" s="32">
        <f t="shared" si="82"/>
        <v>11.76</v>
      </c>
      <c r="K94" s="33" t="s">
        <v>285</v>
      </c>
      <c r="L94" s="32">
        <v>30</v>
      </c>
      <c r="M94" s="33" t="s">
        <v>285</v>
      </c>
      <c r="N94" s="32">
        <v>8</v>
      </c>
      <c r="O94" s="33" t="s">
        <v>285</v>
      </c>
      <c r="P94" s="32">
        <v>10</v>
      </c>
      <c r="Q94" s="33" t="s">
        <v>285</v>
      </c>
      <c r="R94" s="32">
        <v>18</v>
      </c>
      <c r="S94" s="33" t="s">
        <v>285</v>
      </c>
      <c r="T94" s="32">
        <v>5.6</v>
      </c>
      <c r="U94" s="33" t="s">
        <v>285</v>
      </c>
      <c r="V94" s="32"/>
      <c r="W94" s="37" t="s">
        <v>285</v>
      </c>
    </row>
    <row r="95" spans="1:23" ht="14.4" customHeight="1" x14ac:dyDescent="0.25">
      <c r="A95" s="31" t="s">
        <v>99</v>
      </c>
      <c r="B95" s="31" t="s">
        <v>220</v>
      </c>
      <c r="C95" s="89" t="s">
        <v>301</v>
      </c>
      <c r="D95" s="59">
        <v>10</v>
      </c>
      <c r="E95" s="60" t="s">
        <v>280</v>
      </c>
      <c r="F95" s="32">
        <f t="shared" si="79"/>
        <v>9</v>
      </c>
      <c r="G95" s="33" t="s">
        <v>285</v>
      </c>
      <c r="H95" s="87">
        <v>30</v>
      </c>
      <c r="I95" s="33" t="s">
        <v>285</v>
      </c>
      <c r="J95" s="32">
        <f t="shared" si="82"/>
        <v>29.4</v>
      </c>
      <c r="K95" s="33" t="s">
        <v>285</v>
      </c>
      <c r="L95" s="32">
        <v>65</v>
      </c>
      <c r="M95" s="33" t="s">
        <v>285</v>
      </c>
      <c r="N95" s="32">
        <v>9</v>
      </c>
      <c r="O95" s="33" t="s">
        <v>285</v>
      </c>
      <c r="P95" s="32">
        <v>20</v>
      </c>
      <c r="Q95" s="33" t="s">
        <v>285</v>
      </c>
      <c r="R95" s="32">
        <v>90</v>
      </c>
      <c r="S95" s="33" t="s">
        <v>285</v>
      </c>
      <c r="T95" s="32">
        <v>73.7</v>
      </c>
      <c r="U95" s="33" t="s">
        <v>285</v>
      </c>
      <c r="V95" s="32"/>
      <c r="W95" s="37" t="s">
        <v>285</v>
      </c>
    </row>
    <row r="96" spans="1:23" ht="14.4" customHeight="1" x14ac:dyDescent="0.25">
      <c r="A96" s="38" t="s">
        <v>72</v>
      </c>
      <c r="B96" s="38"/>
      <c r="C96" s="38" t="s">
        <v>222</v>
      </c>
      <c r="D96" s="63"/>
      <c r="E96" s="64"/>
      <c r="F96" s="39"/>
      <c r="G96" s="40">
        <f>SUM(G69:G95)</f>
        <v>107204.7</v>
      </c>
      <c r="H96" s="39"/>
      <c r="I96" s="40">
        <f>SUM(I69:I95)</f>
        <v>97230</v>
      </c>
      <c r="J96" s="39"/>
      <c r="K96" s="40">
        <f>SUM(K69:K95)</f>
        <v>95285.4</v>
      </c>
      <c r="L96" s="39"/>
      <c r="M96" s="40">
        <f>SUM(M69:M95)</f>
        <v>100008</v>
      </c>
      <c r="N96" s="39"/>
      <c r="O96" s="40">
        <f>SUM(O69:O95)</f>
        <v>107204.7</v>
      </c>
      <c r="P96" s="39"/>
      <c r="Q96" s="40">
        <f>SUM(Q69:Q95)</f>
        <v>121020.20000000003</v>
      </c>
      <c r="R96" s="39"/>
      <c r="S96" s="40">
        <f>SUM(S69:S95)</f>
        <v>115769.30000000002</v>
      </c>
      <c r="T96" s="39"/>
      <c r="U96" s="40">
        <f>SUM(U69:U95)</f>
        <v>133361.59999999998</v>
      </c>
      <c r="V96" s="39"/>
      <c r="W96" s="40">
        <f>SUM(W69:W95)</f>
        <v>0</v>
      </c>
    </row>
    <row r="97" spans="1:23" ht="14.4" customHeight="1" x14ac:dyDescent="0.25">
      <c r="A97" s="31"/>
      <c r="B97" s="31"/>
      <c r="C97" s="31"/>
      <c r="D97" s="59"/>
      <c r="E97" s="60"/>
      <c r="F97" s="32"/>
      <c r="G97" s="33"/>
      <c r="H97" s="32"/>
      <c r="I97" s="33"/>
      <c r="J97" s="32"/>
      <c r="K97" s="33"/>
      <c r="L97" s="32"/>
      <c r="M97" s="33"/>
      <c r="N97" s="32"/>
      <c r="O97" s="33"/>
      <c r="P97" s="32"/>
      <c r="Q97" s="33"/>
      <c r="R97" s="32"/>
      <c r="S97" s="33"/>
      <c r="T97" s="32"/>
      <c r="U97" s="33"/>
      <c r="V97" s="32"/>
      <c r="W97" s="33"/>
    </row>
    <row r="98" spans="1:23" ht="14.4" customHeight="1" x14ac:dyDescent="0.25">
      <c r="A98" s="91" t="s">
        <v>101</v>
      </c>
      <c r="B98" s="91"/>
      <c r="C98" s="91" t="s">
        <v>248</v>
      </c>
      <c r="D98" s="92">
        <v>6</v>
      </c>
      <c r="E98" s="93" t="s">
        <v>278</v>
      </c>
      <c r="F98" s="32">
        <f t="shared" ref="F98:F110" si="115">N98</f>
        <v>45</v>
      </c>
      <c r="G98" s="33">
        <f>$D98*F98</f>
        <v>270</v>
      </c>
      <c r="H98" s="32">
        <v>59</v>
      </c>
      <c r="I98" s="33">
        <f>$D98*H98</f>
        <v>354</v>
      </c>
      <c r="J98" s="32">
        <f t="shared" ref="J98:J110" si="116">$H98*$K$11</f>
        <v>57.82</v>
      </c>
      <c r="K98" s="33">
        <f>$D98*J98</f>
        <v>346.92</v>
      </c>
      <c r="L98" s="32">
        <v>62</v>
      </c>
      <c r="M98" s="33">
        <f>$D98*L98</f>
        <v>372</v>
      </c>
      <c r="N98" s="32">
        <v>45</v>
      </c>
      <c r="O98" s="33">
        <f>$D98*N98</f>
        <v>270</v>
      </c>
      <c r="P98" s="32">
        <v>49.9</v>
      </c>
      <c r="Q98" s="33">
        <f t="shared" ref="Q98" si="117">$D98*P98</f>
        <v>299.39999999999998</v>
      </c>
      <c r="R98" s="32">
        <v>48</v>
      </c>
      <c r="S98" s="33">
        <f t="shared" ref="S98" si="118">$D98*R98</f>
        <v>288</v>
      </c>
      <c r="T98" s="32">
        <v>43.4</v>
      </c>
      <c r="U98" s="33">
        <f t="shared" ref="U98" si="119">$D98*T98</f>
        <v>260.39999999999998</v>
      </c>
      <c r="V98" s="32"/>
      <c r="W98" s="33">
        <f>$D98*V98</f>
        <v>0</v>
      </c>
    </row>
    <row r="99" spans="1:23" ht="14.4" customHeight="1" x14ac:dyDescent="0.25">
      <c r="A99" s="31" t="s">
        <v>102</v>
      </c>
      <c r="B99" s="31" t="s">
        <v>220</v>
      </c>
      <c r="C99" s="31" t="s">
        <v>249</v>
      </c>
      <c r="D99" s="59">
        <v>1</v>
      </c>
      <c r="E99" s="60" t="s">
        <v>278</v>
      </c>
      <c r="F99" s="32">
        <f t="shared" si="115"/>
        <v>9.9</v>
      </c>
      <c r="G99" s="33" t="s">
        <v>285</v>
      </c>
      <c r="H99" s="87">
        <v>10</v>
      </c>
      <c r="I99" s="33" t="s">
        <v>285</v>
      </c>
      <c r="J99" s="32">
        <f t="shared" si="116"/>
        <v>9.8000000000000007</v>
      </c>
      <c r="K99" s="33" t="s">
        <v>285</v>
      </c>
      <c r="L99" s="32">
        <v>12</v>
      </c>
      <c r="M99" s="33" t="s">
        <v>285</v>
      </c>
      <c r="N99" s="32">
        <v>9.9</v>
      </c>
      <c r="O99" s="33" t="s">
        <v>285</v>
      </c>
      <c r="P99" s="32">
        <v>9</v>
      </c>
      <c r="Q99" s="33" t="s">
        <v>285</v>
      </c>
      <c r="R99" s="32">
        <v>16</v>
      </c>
      <c r="S99" s="33" t="s">
        <v>285</v>
      </c>
      <c r="T99" s="32">
        <v>16.8</v>
      </c>
      <c r="U99" s="33" t="s">
        <v>285</v>
      </c>
      <c r="V99" s="32"/>
      <c r="W99" s="37" t="s">
        <v>285</v>
      </c>
    </row>
    <row r="100" spans="1:23" ht="14.4" customHeight="1" x14ac:dyDescent="0.25">
      <c r="A100" s="31" t="s">
        <v>103</v>
      </c>
      <c r="B100" s="31" t="s">
        <v>220</v>
      </c>
      <c r="C100" s="31" t="s">
        <v>250</v>
      </c>
      <c r="D100" s="59">
        <v>1</v>
      </c>
      <c r="E100" s="60" t="s">
        <v>278</v>
      </c>
      <c r="F100" s="32">
        <f t="shared" si="115"/>
        <v>2.9</v>
      </c>
      <c r="G100" s="33" t="s">
        <v>285</v>
      </c>
      <c r="H100" s="87">
        <v>2.5</v>
      </c>
      <c r="I100" s="33" t="s">
        <v>285</v>
      </c>
      <c r="J100" s="32">
        <f t="shared" si="116"/>
        <v>2.4500000000000002</v>
      </c>
      <c r="K100" s="33" t="s">
        <v>285</v>
      </c>
      <c r="L100" s="32">
        <v>4</v>
      </c>
      <c r="M100" s="33" t="s">
        <v>285</v>
      </c>
      <c r="N100" s="32">
        <v>2.9</v>
      </c>
      <c r="O100" s="33" t="s">
        <v>285</v>
      </c>
      <c r="P100" s="32">
        <v>2.2999999999999998</v>
      </c>
      <c r="Q100" s="33" t="s">
        <v>285</v>
      </c>
      <c r="R100" s="32">
        <v>4.2</v>
      </c>
      <c r="S100" s="33" t="s">
        <v>285</v>
      </c>
      <c r="T100" s="32">
        <v>3.4</v>
      </c>
      <c r="U100" s="33" t="s">
        <v>285</v>
      </c>
      <c r="V100" s="32"/>
      <c r="W100" s="37" t="s">
        <v>285</v>
      </c>
    </row>
    <row r="101" spans="1:23" ht="14.4" customHeight="1" x14ac:dyDescent="0.25">
      <c r="A101" s="31" t="s">
        <v>104</v>
      </c>
      <c r="B101" s="31" t="s">
        <v>220</v>
      </c>
      <c r="C101" s="31" t="s">
        <v>251</v>
      </c>
      <c r="D101" s="59">
        <v>1</v>
      </c>
      <c r="E101" s="60" t="s">
        <v>278</v>
      </c>
      <c r="F101" s="32">
        <f t="shared" si="115"/>
        <v>5.8</v>
      </c>
      <c r="G101" s="33" t="s">
        <v>285</v>
      </c>
      <c r="H101" s="87">
        <v>5</v>
      </c>
      <c r="I101" s="33" t="s">
        <v>285</v>
      </c>
      <c r="J101" s="32">
        <f t="shared" si="116"/>
        <v>4.9000000000000004</v>
      </c>
      <c r="K101" s="33" t="s">
        <v>285</v>
      </c>
      <c r="L101" s="32">
        <v>8</v>
      </c>
      <c r="M101" s="33" t="s">
        <v>285</v>
      </c>
      <c r="N101" s="32">
        <v>5.8</v>
      </c>
      <c r="O101" s="33" t="s">
        <v>285</v>
      </c>
      <c r="P101" s="32">
        <v>4.5999999999999996</v>
      </c>
      <c r="Q101" s="33" t="s">
        <v>285</v>
      </c>
      <c r="R101" s="32">
        <v>8.4</v>
      </c>
      <c r="S101" s="33" t="s">
        <v>285</v>
      </c>
      <c r="T101" s="32">
        <v>6.7</v>
      </c>
      <c r="U101" s="33" t="s">
        <v>285</v>
      </c>
      <c r="V101" s="32"/>
      <c r="W101" s="37" t="s">
        <v>285</v>
      </c>
    </row>
    <row r="102" spans="1:23" ht="14.4" customHeight="1" x14ac:dyDescent="0.25">
      <c r="A102" s="31" t="s">
        <v>105</v>
      </c>
      <c r="B102" s="31" t="s">
        <v>220</v>
      </c>
      <c r="C102" s="31" t="s">
        <v>252</v>
      </c>
      <c r="D102" s="59">
        <v>1</v>
      </c>
      <c r="E102" s="60" t="s">
        <v>278</v>
      </c>
      <c r="F102" s="32">
        <f t="shared" si="115"/>
        <v>3.9</v>
      </c>
      <c r="G102" s="33" t="s">
        <v>285</v>
      </c>
      <c r="H102" s="32">
        <v>6.95</v>
      </c>
      <c r="I102" s="33" t="s">
        <v>285</v>
      </c>
      <c r="J102" s="32">
        <f t="shared" si="116"/>
        <v>6.8109999999999999</v>
      </c>
      <c r="K102" s="33" t="s">
        <v>285</v>
      </c>
      <c r="L102" s="32">
        <v>6.95</v>
      </c>
      <c r="M102" s="33" t="s">
        <v>285</v>
      </c>
      <c r="N102" s="32">
        <v>3.9</v>
      </c>
      <c r="O102" s="33" t="s">
        <v>285</v>
      </c>
      <c r="P102" s="32">
        <v>5</v>
      </c>
      <c r="Q102" s="33" t="s">
        <v>285</v>
      </c>
      <c r="R102" s="32">
        <v>8.8000000000000007</v>
      </c>
      <c r="S102" s="33" t="s">
        <v>285</v>
      </c>
      <c r="T102" s="32">
        <v>8</v>
      </c>
      <c r="U102" s="33" t="s">
        <v>285</v>
      </c>
      <c r="V102" s="32"/>
      <c r="W102" s="37" t="s">
        <v>285</v>
      </c>
    </row>
    <row r="103" spans="1:23" ht="14.4" customHeight="1" x14ac:dyDescent="0.25">
      <c r="A103" s="31" t="s">
        <v>106</v>
      </c>
      <c r="B103" s="31"/>
      <c r="C103" s="31" t="s">
        <v>253</v>
      </c>
      <c r="D103" s="59">
        <v>20</v>
      </c>
      <c r="E103" s="60" t="s">
        <v>279</v>
      </c>
      <c r="F103" s="32">
        <f t="shared" si="115"/>
        <v>6.9</v>
      </c>
      <c r="G103" s="33">
        <f t="shared" ref="G103:G108" si="120">$D103*F103</f>
        <v>138</v>
      </c>
      <c r="H103" s="87">
        <v>10</v>
      </c>
      <c r="I103" s="33">
        <f t="shared" ref="I103:I108" si="121">$D103*H103</f>
        <v>200</v>
      </c>
      <c r="J103" s="32">
        <f t="shared" si="116"/>
        <v>9.8000000000000007</v>
      </c>
      <c r="K103" s="33">
        <f t="shared" ref="K103:K108" si="122">$D103*J103</f>
        <v>196</v>
      </c>
      <c r="L103" s="32">
        <v>15</v>
      </c>
      <c r="M103" s="33">
        <f t="shared" ref="M103:M108" si="123">$D103*L103</f>
        <v>300</v>
      </c>
      <c r="N103" s="32">
        <v>6.9</v>
      </c>
      <c r="O103" s="33">
        <f t="shared" ref="O103:O108" si="124">$D103*N103</f>
        <v>138</v>
      </c>
      <c r="P103" s="32">
        <v>10.5</v>
      </c>
      <c r="Q103" s="33">
        <f t="shared" ref="Q103" si="125">$D103*P103</f>
        <v>210</v>
      </c>
      <c r="R103" s="32">
        <v>6.9</v>
      </c>
      <c r="S103" s="33">
        <f t="shared" ref="S103:S108" si="126">$D103*R103</f>
        <v>138</v>
      </c>
      <c r="T103" s="32">
        <v>12.6</v>
      </c>
      <c r="U103" s="33">
        <f t="shared" ref="U103" si="127">$D103*T103</f>
        <v>252</v>
      </c>
      <c r="V103" s="32"/>
      <c r="W103" s="33">
        <f t="shared" ref="W103:W108" si="128">$D103*V103</f>
        <v>0</v>
      </c>
    </row>
    <row r="104" spans="1:23" ht="14.4" customHeight="1" x14ac:dyDescent="0.25">
      <c r="A104" s="31" t="s">
        <v>107</v>
      </c>
      <c r="B104" s="31"/>
      <c r="C104" s="31" t="s">
        <v>254</v>
      </c>
      <c r="D104" s="59">
        <v>20</v>
      </c>
      <c r="E104" s="60" t="s">
        <v>279</v>
      </c>
      <c r="F104" s="32">
        <f t="shared" si="115"/>
        <v>4.5</v>
      </c>
      <c r="G104" s="33">
        <f t="shared" si="120"/>
        <v>90</v>
      </c>
      <c r="H104" s="87">
        <v>5</v>
      </c>
      <c r="I104" s="33">
        <f t="shared" si="121"/>
        <v>100</v>
      </c>
      <c r="J104" s="32">
        <f t="shared" si="116"/>
        <v>4.9000000000000004</v>
      </c>
      <c r="K104" s="33">
        <f t="shared" si="122"/>
        <v>98</v>
      </c>
      <c r="L104" s="32">
        <v>6.5</v>
      </c>
      <c r="M104" s="33">
        <f t="shared" si="123"/>
        <v>130</v>
      </c>
      <c r="N104" s="32">
        <v>4.5</v>
      </c>
      <c r="O104" s="33">
        <f t="shared" si="124"/>
        <v>90</v>
      </c>
      <c r="P104" s="32">
        <v>4</v>
      </c>
      <c r="Q104" s="33">
        <f t="shared" ref="Q104" si="129">$D104*P104</f>
        <v>80</v>
      </c>
      <c r="R104" s="32">
        <v>6.5</v>
      </c>
      <c r="S104" s="33">
        <f t="shared" si="126"/>
        <v>130</v>
      </c>
      <c r="T104" s="32">
        <v>8.6999999999999993</v>
      </c>
      <c r="U104" s="33">
        <f t="shared" ref="U104" si="130">$D104*T104</f>
        <v>174</v>
      </c>
      <c r="V104" s="32"/>
      <c r="W104" s="33">
        <f t="shared" si="128"/>
        <v>0</v>
      </c>
    </row>
    <row r="105" spans="1:23" ht="14.4" customHeight="1" x14ac:dyDescent="0.25">
      <c r="A105" s="31" t="s">
        <v>108</v>
      </c>
      <c r="B105" s="31"/>
      <c r="C105" s="31" t="s">
        <v>255</v>
      </c>
      <c r="D105" s="59">
        <v>10</v>
      </c>
      <c r="E105" s="60" t="s">
        <v>280</v>
      </c>
      <c r="F105" s="32">
        <f t="shared" si="115"/>
        <v>9.5</v>
      </c>
      <c r="G105" s="33">
        <f t="shared" si="120"/>
        <v>95</v>
      </c>
      <c r="H105" s="32">
        <v>10</v>
      </c>
      <c r="I105" s="33">
        <f t="shared" si="121"/>
        <v>100</v>
      </c>
      <c r="J105" s="32">
        <f t="shared" si="116"/>
        <v>9.8000000000000007</v>
      </c>
      <c r="K105" s="33">
        <f t="shared" si="122"/>
        <v>98</v>
      </c>
      <c r="L105" s="32">
        <v>10</v>
      </c>
      <c r="M105" s="33">
        <f t="shared" si="123"/>
        <v>100</v>
      </c>
      <c r="N105" s="32">
        <v>9.5</v>
      </c>
      <c r="O105" s="33">
        <f t="shared" si="124"/>
        <v>95</v>
      </c>
      <c r="P105" s="32">
        <v>25</v>
      </c>
      <c r="Q105" s="33">
        <f t="shared" ref="Q105" si="131">$D105*P105</f>
        <v>250</v>
      </c>
      <c r="R105" s="32">
        <v>25</v>
      </c>
      <c r="S105" s="33">
        <f t="shared" si="126"/>
        <v>250</v>
      </c>
      <c r="T105" s="32">
        <v>14.8</v>
      </c>
      <c r="U105" s="33">
        <f t="shared" ref="U105" si="132">$D105*T105</f>
        <v>148</v>
      </c>
      <c r="V105" s="32"/>
      <c r="W105" s="33">
        <f t="shared" si="128"/>
        <v>0</v>
      </c>
    </row>
    <row r="106" spans="1:23" ht="14.4" customHeight="1" x14ac:dyDescent="0.25">
      <c r="A106" s="31" t="s">
        <v>109</v>
      </c>
      <c r="B106" s="31"/>
      <c r="C106" s="31" t="s">
        <v>256</v>
      </c>
      <c r="D106" s="59">
        <v>10</v>
      </c>
      <c r="E106" s="60" t="s">
        <v>280</v>
      </c>
      <c r="F106" s="32">
        <f t="shared" si="115"/>
        <v>8</v>
      </c>
      <c r="G106" s="33">
        <f t="shared" si="120"/>
        <v>80</v>
      </c>
      <c r="H106" s="32">
        <v>20</v>
      </c>
      <c r="I106" s="33">
        <f t="shared" si="121"/>
        <v>200</v>
      </c>
      <c r="J106" s="32">
        <f t="shared" si="116"/>
        <v>19.600000000000001</v>
      </c>
      <c r="K106" s="33">
        <f t="shared" si="122"/>
        <v>196</v>
      </c>
      <c r="L106" s="32">
        <v>20</v>
      </c>
      <c r="M106" s="33">
        <f t="shared" si="123"/>
        <v>200</v>
      </c>
      <c r="N106" s="32">
        <v>8</v>
      </c>
      <c r="O106" s="33">
        <f t="shared" si="124"/>
        <v>80</v>
      </c>
      <c r="P106" s="32">
        <v>25</v>
      </c>
      <c r="Q106" s="33">
        <f t="shared" ref="Q106" si="133">$D106*P106</f>
        <v>250</v>
      </c>
      <c r="R106" s="32">
        <v>15</v>
      </c>
      <c r="S106" s="33">
        <f t="shared" si="126"/>
        <v>150</v>
      </c>
      <c r="T106" s="32">
        <v>14.8</v>
      </c>
      <c r="U106" s="33">
        <f t="shared" ref="U106" si="134">$D106*T106</f>
        <v>148</v>
      </c>
      <c r="V106" s="32"/>
      <c r="W106" s="33">
        <f t="shared" si="128"/>
        <v>0</v>
      </c>
    </row>
    <row r="107" spans="1:23" ht="14.4" customHeight="1" x14ac:dyDescent="0.25">
      <c r="A107" s="31" t="s">
        <v>110</v>
      </c>
      <c r="B107" s="31"/>
      <c r="C107" s="31" t="s">
        <v>257</v>
      </c>
      <c r="D107" s="59">
        <v>5</v>
      </c>
      <c r="E107" s="60" t="s">
        <v>280</v>
      </c>
      <c r="F107" s="32">
        <f t="shared" si="115"/>
        <v>64</v>
      </c>
      <c r="G107" s="33">
        <f t="shared" si="120"/>
        <v>320</v>
      </c>
      <c r="H107" s="32">
        <v>65</v>
      </c>
      <c r="I107" s="33">
        <f t="shared" si="121"/>
        <v>325</v>
      </c>
      <c r="J107" s="32">
        <f t="shared" si="116"/>
        <v>63.699999999999996</v>
      </c>
      <c r="K107" s="33">
        <f t="shared" si="122"/>
        <v>318.5</v>
      </c>
      <c r="L107" s="32">
        <v>65</v>
      </c>
      <c r="M107" s="33">
        <f t="shared" si="123"/>
        <v>325</v>
      </c>
      <c r="N107" s="32">
        <v>64</v>
      </c>
      <c r="O107" s="33">
        <f t="shared" si="124"/>
        <v>320</v>
      </c>
      <c r="P107" s="32">
        <v>88</v>
      </c>
      <c r="Q107" s="33">
        <f t="shared" ref="Q107" si="135">$D107*P107</f>
        <v>440</v>
      </c>
      <c r="R107" s="32">
        <v>55</v>
      </c>
      <c r="S107" s="33">
        <f t="shared" si="126"/>
        <v>275</v>
      </c>
      <c r="T107" s="32">
        <v>74.3</v>
      </c>
      <c r="U107" s="33">
        <f t="shared" ref="U107" si="136">$D107*T107</f>
        <v>371.5</v>
      </c>
      <c r="V107" s="32"/>
      <c r="W107" s="33">
        <f t="shared" si="128"/>
        <v>0</v>
      </c>
    </row>
    <row r="108" spans="1:23" ht="14.4" customHeight="1" x14ac:dyDescent="0.25">
      <c r="A108" s="31" t="s">
        <v>111</v>
      </c>
      <c r="B108" s="31"/>
      <c r="C108" s="31" t="s">
        <v>258</v>
      </c>
      <c r="D108" s="59">
        <v>5</v>
      </c>
      <c r="E108" s="60" t="s">
        <v>280</v>
      </c>
      <c r="F108" s="32">
        <f t="shared" si="115"/>
        <v>77</v>
      </c>
      <c r="G108" s="33">
        <f t="shared" si="120"/>
        <v>385</v>
      </c>
      <c r="H108" s="32">
        <v>80</v>
      </c>
      <c r="I108" s="33">
        <f t="shared" si="121"/>
        <v>400</v>
      </c>
      <c r="J108" s="32">
        <f t="shared" si="116"/>
        <v>78.400000000000006</v>
      </c>
      <c r="K108" s="33">
        <f t="shared" si="122"/>
        <v>392</v>
      </c>
      <c r="L108" s="32">
        <v>80</v>
      </c>
      <c r="M108" s="33">
        <f t="shared" si="123"/>
        <v>400</v>
      </c>
      <c r="N108" s="32">
        <v>77</v>
      </c>
      <c r="O108" s="33">
        <f t="shared" si="124"/>
        <v>385</v>
      </c>
      <c r="P108" s="32">
        <v>125</v>
      </c>
      <c r="Q108" s="33">
        <f t="shared" ref="Q108" si="137">$D108*P108</f>
        <v>625</v>
      </c>
      <c r="R108" s="32">
        <v>65</v>
      </c>
      <c r="S108" s="33">
        <f t="shared" si="126"/>
        <v>325</v>
      </c>
      <c r="T108" s="32">
        <v>98.8</v>
      </c>
      <c r="U108" s="33">
        <f t="shared" ref="U108" si="138">$D108*T108</f>
        <v>494</v>
      </c>
      <c r="V108" s="32"/>
      <c r="W108" s="33">
        <f t="shared" si="128"/>
        <v>0</v>
      </c>
    </row>
    <row r="109" spans="1:23" ht="14.4" customHeight="1" x14ac:dyDescent="0.25">
      <c r="A109" s="31" t="s">
        <v>112</v>
      </c>
      <c r="B109" s="31" t="s">
        <v>220</v>
      </c>
      <c r="C109" s="31" t="s">
        <v>259</v>
      </c>
      <c r="D109" s="59">
        <v>1</v>
      </c>
      <c r="E109" s="60" t="s">
        <v>280</v>
      </c>
      <c r="F109" s="32">
        <f t="shared" si="115"/>
        <v>190</v>
      </c>
      <c r="G109" s="33" t="s">
        <v>285</v>
      </c>
      <c r="H109" s="32">
        <v>170</v>
      </c>
      <c r="I109" s="33" t="s">
        <v>285</v>
      </c>
      <c r="J109" s="32">
        <f t="shared" si="116"/>
        <v>166.6</v>
      </c>
      <c r="K109" s="33" t="s">
        <v>285</v>
      </c>
      <c r="L109" s="32">
        <v>170</v>
      </c>
      <c r="M109" s="33" t="s">
        <v>285</v>
      </c>
      <c r="N109" s="32">
        <v>190</v>
      </c>
      <c r="O109" s="33" t="s">
        <v>285</v>
      </c>
      <c r="P109" s="32">
        <v>239.95</v>
      </c>
      <c r="Q109" s="33" t="s">
        <v>285</v>
      </c>
      <c r="R109" s="32">
        <v>280</v>
      </c>
      <c r="S109" s="33" t="s">
        <v>285</v>
      </c>
      <c r="T109" s="32">
        <v>373</v>
      </c>
      <c r="U109" s="33" t="s">
        <v>285</v>
      </c>
      <c r="V109" s="32"/>
      <c r="W109" s="37" t="s">
        <v>285</v>
      </c>
    </row>
    <row r="110" spans="1:23" ht="14.4" customHeight="1" x14ac:dyDescent="0.25">
      <c r="A110" s="31" t="s">
        <v>113</v>
      </c>
      <c r="B110" s="31" t="s">
        <v>220</v>
      </c>
      <c r="C110" s="31" t="s">
        <v>260</v>
      </c>
      <c r="D110" s="59">
        <v>1</v>
      </c>
      <c r="E110" s="60" t="s">
        <v>280</v>
      </c>
      <c r="F110" s="32">
        <f t="shared" si="115"/>
        <v>240</v>
      </c>
      <c r="G110" s="33" t="s">
        <v>285</v>
      </c>
      <c r="H110" s="32">
        <v>200</v>
      </c>
      <c r="I110" s="33" t="s">
        <v>285</v>
      </c>
      <c r="J110" s="32">
        <f t="shared" si="116"/>
        <v>196</v>
      </c>
      <c r="K110" s="33" t="s">
        <v>285</v>
      </c>
      <c r="L110" s="32">
        <v>200</v>
      </c>
      <c r="M110" s="33" t="s">
        <v>285</v>
      </c>
      <c r="N110" s="32">
        <v>240</v>
      </c>
      <c r="O110" s="33" t="s">
        <v>285</v>
      </c>
      <c r="P110" s="32">
        <v>281.95</v>
      </c>
      <c r="Q110" s="33" t="s">
        <v>285</v>
      </c>
      <c r="R110" s="32">
        <v>350</v>
      </c>
      <c r="S110" s="33" t="s">
        <v>285</v>
      </c>
      <c r="T110" s="32">
        <v>420.8</v>
      </c>
      <c r="U110" s="33" t="s">
        <v>285</v>
      </c>
      <c r="V110" s="32"/>
      <c r="W110" s="37" t="s">
        <v>285</v>
      </c>
    </row>
    <row r="111" spans="1:23" ht="14.4" customHeight="1" x14ac:dyDescent="0.25">
      <c r="A111" s="38" t="s">
        <v>100</v>
      </c>
      <c r="B111" s="38"/>
      <c r="C111" s="38" t="s">
        <v>247</v>
      </c>
      <c r="D111" s="63"/>
      <c r="E111" s="64"/>
      <c r="F111" s="39"/>
      <c r="G111" s="40">
        <f>SUM(G98:G110)</f>
        <v>1378</v>
      </c>
      <c r="H111" s="39"/>
      <c r="I111" s="40">
        <f>SUM(I98:I110)</f>
        <v>1679</v>
      </c>
      <c r="J111" s="39"/>
      <c r="K111" s="40">
        <f>SUM(K98:K110)</f>
        <v>1645.42</v>
      </c>
      <c r="L111" s="39"/>
      <c r="M111" s="40">
        <f>SUM(M98:M110)</f>
        <v>1827</v>
      </c>
      <c r="N111" s="39"/>
      <c r="O111" s="40">
        <f>SUM(O98:O110)</f>
        <v>1378</v>
      </c>
      <c r="P111" s="39"/>
      <c r="Q111" s="40">
        <f>SUM(Q98:Q110)</f>
        <v>2154.4</v>
      </c>
      <c r="R111" s="39"/>
      <c r="S111" s="40">
        <f>SUM(S98:S110)</f>
        <v>1556</v>
      </c>
      <c r="T111" s="39"/>
      <c r="U111" s="40">
        <f>SUM(U98:U110)</f>
        <v>1847.9</v>
      </c>
      <c r="V111" s="39"/>
      <c r="W111" s="40">
        <f>SUM(W98:W110)</f>
        <v>0</v>
      </c>
    </row>
    <row r="112" spans="1:23" ht="14.4" customHeight="1" x14ac:dyDescent="0.25">
      <c r="A112" s="31"/>
      <c r="B112" s="31"/>
      <c r="C112" s="31"/>
      <c r="D112" s="59"/>
      <c r="E112" s="60"/>
      <c r="F112" s="32"/>
      <c r="G112" s="33"/>
      <c r="H112" s="32"/>
      <c r="I112" s="33"/>
      <c r="J112" s="32"/>
      <c r="K112" s="33"/>
      <c r="L112" s="32"/>
      <c r="M112" s="33"/>
      <c r="N112" s="32"/>
      <c r="O112" s="33"/>
      <c r="P112" s="32"/>
      <c r="Q112" s="33"/>
      <c r="R112" s="32"/>
      <c r="S112" s="33"/>
      <c r="T112" s="32"/>
      <c r="U112" s="33"/>
      <c r="V112" s="32"/>
      <c r="W112" s="33"/>
    </row>
    <row r="113" spans="1:23" ht="14.4" customHeight="1" x14ac:dyDescent="0.25">
      <c r="A113" s="31" t="s">
        <v>115</v>
      </c>
      <c r="B113" s="31"/>
      <c r="C113" s="31" t="s">
        <v>262</v>
      </c>
      <c r="D113" s="59">
        <v>58</v>
      </c>
      <c r="E113" s="60" t="s">
        <v>278</v>
      </c>
      <c r="F113" s="32">
        <f t="shared" ref="F113:F117" si="139">N113</f>
        <v>62</v>
      </c>
      <c r="G113" s="33">
        <f>$D113*F113</f>
        <v>3596</v>
      </c>
      <c r="H113" s="87">
        <v>68.5</v>
      </c>
      <c r="I113" s="33">
        <f>$D113*H113</f>
        <v>3973</v>
      </c>
      <c r="J113" s="32">
        <f t="shared" ref="J113:J117" si="140">$H113*$K$11</f>
        <v>67.13</v>
      </c>
      <c r="K113" s="33">
        <f>$D113*J113</f>
        <v>3893.54</v>
      </c>
      <c r="L113" s="32">
        <v>75</v>
      </c>
      <c r="M113" s="33">
        <f>$D113*L113</f>
        <v>4350</v>
      </c>
      <c r="N113" s="32">
        <v>62</v>
      </c>
      <c r="O113" s="33">
        <f>$D113*N113</f>
        <v>3596</v>
      </c>
      <c r="P113" s="32">
        <v>102.25</v>
      </c>
      <c r="Q113" s="33">
        <f t="shared" ref="Q113" si="141">$D113*P113</f>
        <v>5930.5</v>
      </c>
      <c r="R113" s="32">
        <v>131.5</v>
      </c>
      <c r="S113" s="33">
        <f t="shared" ref="S113:S117" si="142">$D113*R113</f>
        <v>7627</v>
      </c>
      <c r="T113" s="32">
        <v>87.5</v>
      </c>
      <c r="U113" s="33">
        <f t="shared" ref="U113" si="143">$D113*T113</f>
        <v>5075</v>
      </c>
      <c r="V113" s="32"/>
      <c r="W113" s="33">
        <f>$D113*V113</f>
        <v>0</v>
      </c>
    </row>
    <row r="114" spans="1:23" ht="14.4" customHeight="1" x14ac:dyDescent="0.25">
      <c r="A114" s="31" t="s">
        <v>116</v>
      </c>
      <c r="B114" s="31"/>
      <c r="C114" s="31" t="s">
        <v>263</v>
      </c>
      <c r="D114" s="59">
        <v>10</v>
      </c>
      <c r="E114" s="60" t="s">
        <v>279</v>
      </c>
      <c r="F114" s="32">
        <f t="shared" si="139"/>
        <v>9</v>
      </c>
      <c r="G114" s="33">
        <f>$D114*F114</f>
        <v>90</v>
      </c>
      <c r="H114" s="87">
        <v>13</v>
      </c>
      <c r="I114" s="33">
        <f>$D114*H114</f>
        <v>130</v>
      </c>
      <c r="J114" s="32">
        <f t="shared" si="140"/>
        <v>12.74</v>
      </c>
      <c r="K114" s="33">
        <f>$D114*J114</f>
        <v>127.4</v>
      </c>
      <c r="L114" s="32">
        <v>22</v>
      </c>
      <c r="M114" s="33">
        <f>$D114*L114</f>
        <v>220</v>
      </c>
      <c r="N114" s="32">
        <v>9</v>
      </c>
      <c r="O114" s="33">
        <f>$D114*N114</f>
        <v>90</v>
      </c>
      <c r="P114" s="32">
        <v>10.9</v>
      </c>
      <c r="Q114" s="33">
        <f t="shared" ref="Q114" si="144">$D114*P114</f>
        <v>109</v>
      </c>
      <c r="R114" s="32">
        <v>26.2</v>
      </c>
      <c r="S114" s="33">
        <f t="shared" si="142"/>
        <v>262</v>
      </c>
      <c r="T114" s="32">
        <v>20.6</v>
      </c>
      <c r="U114" s="33">
        <f t="shared" ref="U114" si="145">$D114*T114</f>
        <v>206</v>
      </c>
      <c r="V114" s="32"/>
      <c r="W114" s="33">
        <f>$D114*V114</f>
        <v>0</v>
      </c>
    </row>
    <row r="115" spans="1:23" ht="14.4" customHeight="1" x14ac:dyDescent="0.25">
      <c r="A115" s="31" t="s">
        <v>117</v>
      </c>
      <c r="B115" s="31"/>
      <c r="C115" s="31" t="s">
        <v>264</v>
      </c>
      <c r="D115" s="59">
        <v>32</v>
      </c>
      <c r="E115" s="60" t="s">
        <v>279</v>
      </c>
      <c r="F115" s="32">
        <f t="shared" si="139"/>
        <v>67</v>
      </c>
      <c r="G115" s="33">
        <f>$D115*F115</f>
        <v>2144</v>
      </c>
      <c r="H115" s="32">
        <v>28</v>
      </c>
      <c r="I115" s="33">
        <f>$D115*H115</f>
        <v>896</v>
      </c>
      <c r="J115" s="32">
        <f t="shared" si="140"/>
        <v>27.439999999999998</v>
      </c>
      <c r="K115" s="33">
        <f>$D115*J115</f>
        <v>878.07999999999993</v>
      </c>
      <c r="L115" s="32">
        <v>28</v>
      </c>
      <c r="M115" s="33">
        <f>$D115*L115</f>
        <v>896</v>
      </c>
      <c r="N115" s="32">
        <v>67</v>
      </c>
      <c r="O115" s="33">
        <f>$D115*N115</f>
        <v>2144</v>
      </c>
      <c r="P115" s="32">
        <v>36</v>
      </c>
      <c r="Q115" s="33">
        <f t="shared" ref="Q115" si="146">$D115*P115</f>
        <v>1152</v>
      </c>
      <c r="R115" s="32">
        <v>35</v>
      </c>
      <c r="S115" s="33">
        <f t="shared" si="142"/>
        <v>1120</v>
      </c>
      <c r="T115" s="32">
        <v>20.6</v>
      </c>
      <c r="U115" s="33">
        <f t="shared" ref="U115" si="147">$D115*T115</f>
        <v>659.2</v>
      </c>
      <c r="V115" s="32"/>
      <c r="W115" s="33">
        <f>$D115*V115</f>
        <v>0</v>
      </c>
    </row>
    <row r="116" spans="1:23" ht="14.4" customHeight="1" x14ac:dyDescent="0.25">
      <c r="A116" s="31" t="s">
        <v>118</v>
      </c>
      <c r="B116" s="31"/>
      <c r="C116" s="31" t="s">
        <v>265</v>
      </c>
      <c r="D116" s="59">
        <v>5</v>
      </c>
      <c r="E116" s="60" t="s">
        <v>280</v>
      </c>
      <c r="F116" s="32">
        <f t="shared" si="139"/>
        <v>9</v>
      </c>
      <c r="G116" s="33">
        <f>$D116*F116</f>
        <v>45</v>
      </c>
      <c r="H116" s="32">
        <v>15</v>
      </c>
      <c r="I116" s="33">
        <f>$D116*H116</f>
        <v>75</v>
      </c>
      <c r="J116" s="32">
        <f t="shared" si="140"/>
        <v>14.7</v>
      </c>
      <c r="K116" s="33">
        <f>$D116*J116</f>
        <v>73.5</v>
      </c>
      <c r="L116" s="32">
        <v>15</v>
      </c>
      <c r="M116" s="33">
        <f>$D116*L116</f>
        <v>75</v>
      </c>
      <c r="N116" s="32">
        <v>9</v>
      </c>
      <c r="O116" s="33">
        <f>$D116*N116</f>
        <v>45</v>
      </c>
      <c r="P116" s="32">
        <v>25</v>
      </c>
      <c r="Q116" s="33">
        <f t="shared" ref="Q116" si="148">$D116*P116</f>
        <v>125</v>
      </c>
      <c r="R116" s="32">
        <v>26</v>
      </c>
      <c r="S116" s="33">
        <f t="shared" si="142"/>
        <v>130</v>
      </c>
      <c r="T116" s="32">
        <v>86.5</v>
      </c>
      <c r="U116" s="33">
        <f t="shared" ref="U116" si="149">$D116*T116</f>
        <v>432.5</v>
      </c>
      <c r="V116" s="32"/>
      <c r="W116" s="33">
        <f>$D116*V116</f>
        <v>0</v>
      </c>
    </row>
    <row r="117" spans="1:23" ht="14.4" customHeight="1" x14ac:dyDescent="0.25">
      <c r="A117" s="31" t="s">
        <v>119</v>
      </c>
      <c r="B117" s="31"/>
      <c r="C117" s="31" t="s">
        <v>266</v>
      </c>
      <c r="D117" s="59">
        <v>5</v>
      </c>
      <c r="E117" s="60" t="s">
        <v>280</v>
      </c>
      <c r="F117" s="32">
        <f t="shared" si="139"/>
        <v>12</v>
      </c>
      <c r="G117" s="33">
        <f>$D117*F117</f>
        <v>60</v>
      </c>
      <c r="H117" s="32">
        <v>30</v>
      </c>
      <c r="I117" s="33">
        <f>$D117*H117</f>
        <v>150</v>
      </c>
      <c r="J117" s="32">
        <f t="shared" si="140"/>
        <v>29.4</v>
      </c>
      <c r="K117" s="33">
        <f>$D117*J117</f>
        <v>147</v>
      </c>
      <c r="L117" s="32">
        <v>30</v>
      </c>
      <c r="M117" s="33">
        <f>$D117*L117</f>
        <v>150</v>
      </c>
      <c r="N117" s="32">
        <v>12</v>
      </c>
      <c r="O117" s="33">
        <f>$D117*N117</f>
        <v>60</v>
      </c>
      <c r="P117" s="32">
        <v>25</v>
      </c>
      <c r="Q117" s="33">
        <f t="shared" ref="Q117" si="150">$D117*P117</f>
        <v>125</v>
      </c>
      <c r="R117" s="32">
        <v>35</v>
      </c>
      <c r="S117" s="33">
        <f t="shared" si="142"/>
        <v>175</v>
      </c>
      <c r="T117" s="32">
        <v>72.099999999999994</v>
      </c>
      <c r="U117" s="33">
        <f t="shared" ref="U117" si="151">$D117*T117</f>
        <v>360.5</v>
      </c>
      <c r="V117" s="32"/>
      <c r="W117" s="33">
        <f>$D117*V117</f>
        <v>0</v>
      </c>
    </row>
    <row r="118" spans="1:23" ht="14.4" customHeight="1" x14ac:dyDescent="0.25">
      <c r="A118" s="38" t="s">
        <v>114</v>
      </c>
      <c r="B118" s="38"/>
      <c r="C118" s="38" t="s">
        <v>261</v>
      </c>
      <c r="D118" s="63"/>
      <c r="E118" s="64"/>
      <c r="F118" s="39"/>
      <c r="G118" s="40">
        <f>SUM(G113:G117)</f>
        <v>5935</v>
      </c>
      <c r="H118" s="39"/>
      <c r="I118" s="40">
        <f>SUM(I113:I117)</f>
        <v>5224</v>
      </c>
      <c r="J118" s="39"/>
      <c r="K118" s="40">
        <f>SUM(K113:K117)</f>
        <v>5119.5200000000004</v>
      </c>
      <c r="L118" s="39"/>
      <c r="M118" s="40">
        <f>SUM(M113:M117)</f>
        <v>5691</v>
      </c>
      <c r="N118" s="39"/>
      <c r="O118" s="40">
        <f>SUM(O113:O117)</f>
        <v>5935</v>
      </c>
      <c r="P118" s="39"/>
      <c r="Q118" s="40">
        <f>SUM(Q113:Q117)</f>
        <v>7441.5</v>
      </c>
      <c r="R118" s="39"/>
      <c r="S118" s="40">
        <f>SUM(S113:S117)</f>
        <v>9314</v>
      </c>
      <c r="T118" s="39"/>
      <c r="U118" s="40">
        <f>SUM(U113:U117)</f>
        <v>6733.2</v>
      </c>
      <c r="V118" s="39"/>
      <c r="W118" s="40">
        <f>SUM(W113:W117)</f>
        <v>0</v>
      </c>
    </row>
    <row r="119" spans="1:23" ht="14.4" customHeight="1" x14ac:dyDescent="0.25">
      <c r="A119" s="31"/>
      <c r="B119" s="31"/>
      <c r="C119" s="31"/>
      <c r="D119" s="59"/>
      <c r="E119" s="60"/>
      <c r="F119" s="32"/>
      <c r="G119" s="33"/>
      <c r="H119" s="32"/>
      <c r="I119" s="33"/>
      <c r="J119" s="32"/>
      <c r="K119" s="33"/>
      <c r="L119" s="32"/>
      <c r="M119" s="33"/>
      <c r="N119" s="32"/>
      <c r="O119" s="33"/>
      <c r="P119" s="32"/>
      <c r="Q119" s="33"/>
      <c r="R119" s="32"/>
      <c r="S119" s="33"/>
      <c r="T119" s="32"/>
      <c r="U119" s="33"/>
      <c r="V119" s="32"/>
      <c r="W119" s="33"/>
    </row>
    <row r="120" spans="1:23" ht="14.4" customHeight="1" x14ac:dyDescent="0.25">
      <c r="A120" s="31" t="s">
        <v>121</v>
      </c>
      <c r="B120" s="31"/>
      <c r="C120" s="31" t="s">
        <v>268</v>
      </c>
      <c r="D120" s="59">
        <v>5</v>
      </c>
      <c r="E120" s="60" t="s">
        <v>279</v>
      </c>
      <c r="F120" s="32">
        <f t="shared" ref="F120:F123" si="152">N120</f>
        <v>85</v>
      </c>
      <c r="G120" s="33">
        <f>$D120*F120</f>
        <v>425</v>
      </c>
      <c r="H120" s="32">
        <v>38</v>
      </c>
      <c r="I120" s="33">
        <f>$D120*H120</f>
        <v>190</v>
      </c>
      <c r="J120" s="32">
        <f t="shared" ref="J120:J123" si="153">$H120*$K$11</f>
        <v>37.24</v>
      </c>
      <c r="K120" s="33">
        <f>$D120*J120</f>
        <v>186.20000000000002</v>
      </c>
      <c r="L120" s="32">
        <v>38</v>
      </c>
      <c r="M120" s="33">
        <f>$D120*L120</f>
        <v>190</v>
      </c>
      <c r="N120" s="32">
        <v>85</v>
      </c>
      <c r="O120" s="33">
        <f>$D120*N120</f>
        <v>425</v>
      </c>
      <c r="P120" s="32">
        <v>39.5</v>
      </c>
      <c r="Q120" s="33">
        <f t="shared" ref="Q120" si="154">$D120*P120</f>
        <v>197.5</v>
      </c>
      <c r="R120" s="32">
        <v>65.2</v>
      </c>
      <c r="S120" s="33">
        <f t="shared" ref="S120" si="155">$D120*R120</f>
        <v>326</v>
      </c>
      <c r="T120" s="32">
        <v>66.599999999999994</v>
      </c>
      <c r="U120" s="33">
        <f t="shared" ref="U120" si="156">$D120*T120</f>
        <v>333</v>
      </c>
      <c r="V120" s="32"/>
      <c r="W120" s="33">
        <f>$D120*V120</f>
        <v>0</v>
      </c>
    </row>
    <row r="121" spans="1:23" ht="14.4" customHeight="1" x14ac:dyDescent="0.25">
      <c r="A121" s="31" t="s">
        <v>122</v>
      </c>
      <c r="B121" s="31" t="s">
        <v>220</v>
      </c>
      <c r="C121" s="31" t="s">
        <v>269</v>
      </c>
      <c r="D121" s="59">
        <v>1</v>
      </c>
      <c r="E121" s="60" t="s">
        <v>279</v>
      </c>
      <c r="F121" s="32">
        <f t="shared" si="152"/>
        <v>95</v>
      </c>
      <c r="G121" s="33" t="s">
        <v>285</v>
      </c>
      <c r="H121" s="32">
        <v>48</v>
      </c>
      <c r="I121" s="33" t="s">
        <v>285</v>
      </c>
      <c r="J121" s="32">
        <f t="shared" si="153"/>
        <v>47.04</v>
      </c>
      <c r="K121" s="33" t="s">
        <v>285</v>
      </c>
      <c r="L121" s="32">
        <v>48</v>
      </c>
      <c r="M121" s="33" t="s">
        <v>285</v>
      </c>
      <c r="N121" s="32">
        <v>95</v>
      </c>
      <c r="O121" s="33" t="s">
        <v>285</v>
      </c>
      <c r="P121" s="32">
        <v>48.5</v>
      </c>
      <c r="Q121" s="33" t="s">
        <v>285</v>
      </c>
      <c r="R121" s="32">
        <v>95</v>
      </c>
      <c r="S121" s="33" t="s">
        <v>285</v>
      </c>
      <c r="T121" s="32">
        <v>73.900000000000006</v>
      </c>
      <c r="U121" s="33" t="s">
        <v>285</v>
      </c>
      <c r="V121" s="32"/>
      <c r="W121" s="37" t="s">
        <v>285</v>
      </c>
    </row>
    <row r="122" spans="1:23" ht="14.4" customHeight="1" x14ac:dyDescent="0.25">
      <c r="A122" s="31" t="s">
        <v>123</v>
      </c>
      <c r="B122" s="31"/>
      <c r="C122" s="31" t="s">
        <v>270</v>
      </c>
      <c r="D122" s="59">
        <v>5.6</v>
      </c>
      <c r="E122" s="60" t="s">
        <v>279</v>
      </c>
      <c r="F122" s="32">
        <f t="shared" si="152"/>
        <v>52</v>
      </c>
      <c r="G122" s="33">
        <f>$D122*F122</f>
        <v>291.2</v>
      </c>
      <c r="H122" s="32">
        <v>65</v>
      </c>
      <c r="I122" s="33">
        <f>$D122*H122</f>
        <v>364</v>
      </c>
      <c r="J122" s="32">
        <f t="shared" si="153"/>
        <v>63.699999999999996</v>
      </c>
      <c r="K122" s="33">
        <f>$D122*J122</f>
        <v>356.71999999999997</v>
      </c>
      <c r="L122" s="32">
        <v>65</v>
      </c>
      <c r="M122" s="33">
        <f>$D122*L122</f>
        <v>364</v>
      </c>
      <c r="N122" s="32">
        <v>52</v>
      </c>
      <c r="O122" s="33">
        <f>$D122*N122</f>
        <v>291.2</v>
      </c>
      <c r="P122" s="32">
        <v>90</v>
      </c>
      <c r="Q122" s="33">
        <f t="shared" ref="Q122" si="157">$D122*P122</f>
        <v>503.99999999999994</v>
      </c>
      <c r="R122" s="32">
        <v>84.4</v>
      </c>
      <c r="S122" s="33">
        <f t="shared" ref="S122:S123" si="158">$D122*R122</f>
        <v>472.64</v>
      </c>
      <c r="T122" s="32">
        <v>184.7</v>
      </c>
      <c r="U122" s="33">
        <f t="shared" ref="U122" si="159">$D122*T122</f>
        <v>1034.32</v>
      </c>
      <c r="V122" s="32"/>
      <c r="W122" s="33">
        <f>$D122*V122</f>
        <v>0</v>
      </c>
    </row>
    <row r="123" spans="1:23" ht="14.4" customHeight="1" x14ac:dyDescent="0.25">
      <c r="A123" s="31" t="s">
        <v>124</v>
      </c>
      <c r="B123" s="31"/>
      <c r="C123" s="31" t="s">
        <v>271</v>
      </c>
      <c r="D123" s="59">
        <v>7.7</v>
      </c>
      <c r="E123" s="60" t="s">
        <v>279</v>
      </c>
      <c r="F123" s="32">
        <f t="shared" si="152"/>
        <v>4.5</v>
      </c>
      <c r="G123" s="33">
        <f>$D123*F123</f>
        <v>34.65</v>
      </c>
      <c r="H123" s="32">
        <v>6.5</v>
      </c>
      <c r="I123" s="33">
        <f>$D123*H123</f>
        <v>50.050000000000004</v>
      </c>
      <c r="J123" s="32">
        <f t="shared" si="153"/>
        <v>6.37</v>
      </c>
      <c r="K123" s="33">
        <f>$D123*J123</f>
        <v>49.048999999999999</v>
      </c>
      <c r="L123" s="32">
        <v>6.5</v>
      </c>
      <c r="M123" s="33">
        <f>$D123*L123</f>
        <v>50.050000000000004</v>
      </c>
      <c r="N123" s="32">
        <v>4.5</v>
      </c>
      <c r="O123" s="33">
        <f>$D123*N123</f>
        <v>34.65</v>
      </c>
      <c r="P123" s="32">
        <v>4</v>
      </c>
      <c r="Q123" s="33">
        <f t="shared" ref="Q123" si="160">$D123*P123</f>
        <v>30.8</v>
      </c>
      <c r="R123" s="32">
        <v>6.9</v>
      </c>
      <c r="S123" s="33">
        <f t="shared" si="158"/>
        <v>53.13</v>
      </c>
      <c r="T123" s="32">
        <v>11.5</v>
      </c>
      <c r="U123" s="33">
        <f t="shared" ref="U123" si="161">$D123*T123</f>
        <v>88.55</v>
      </c>
      <c r="V123" s="32"/>
      <c r="W123" s="33">
        <f>$D123*V123</f>
        <v>0</v>
      </c>
    </row>
    <row r="124" spans="1:23" ht="14.4" customHeight="1" x14ac:dyDescent="0.25">
      <c r="A124" s="38" t="s">
        <v>120</v>
      </c>
      <c r="B124" s="38"/>
      <c r="C124" s="38" t="s">
        <v>267</v>
      </c>
      <c r="D124" s="63"/>
      <c r="E124" s="64"/>
      <c r="F124" s="39"/>
      <c r="G124" s="40">
        <f>SUM(G120:G123)</f>
        <v>750.85</v>
      </c>
      <c r="H124" s="39"/>
      <c r="I124" s="40">
        <f>SUM(I120:I123)</f>
        <v>604.04999999999995</v>
      </c>
      <c r="J124" s="39"/>
      <c r="K124" s="40">
        <f>SUM(K120:K123)</f>
        <v>591.96899999999994</v>
      </c>
      <c r="L124" s="39"/>
      <c r="M124" s="40">
        <f>SUM(M120:M123)</f>
        <v>604.04999999999995</v>
      </c>
      <c r="N124" s="39"/>
      <c r="O124" s="40">
        <f>SUM(O120:O123)</f>
        <v>750.85</v>
      </c>
      <c r="P124" s="39"/>
      <c r="Q124" s="40">
        <f>SUM(Q120:Q123)</f>
        <v>732.3</v>
      </c>
      <c r="R124" s="39"/>
      <c r="S124" s="40">
        <f>SUM(S120:S123)</f>
        <v>851.77</v>
      </c>
      <c r="T124" s="39"/>
      <c r="U124" s="40">
        <f>SUM(U120:U123)</f>
        <v>1455.87</v>
      </c>
      <c r="V124" s="39"/>
      <c r="W124" s="40">
        <f>SUM(W120:W123)</f>
        <v>0</v>
      </c>
    </row>
    <row r="125" spans="1:23" ht="14.4" customHeight="1" x14ac:dyDescent="0.25">
      <c r="A125" s="31"/>
      <c r="B125" s="31"/>
      <c r="C125" s="31"/>
      <c r="D125" s="59"/>
      <c r="E125" s="60"/>
      <c r="F125" s="32"/>
      <c r="G125" s="33"/>
      <c r="H125" s="32"/>
      <c r="I125" s="33"/>
      <c r="J125" s="32"/>
      <c r="K125" s="33"/>
      <c r="L125" s="32"/>
      <c r="M125" s="33"/>
      <c r="N125" s="32"/>
      <c r="O125" s="33"/>
      <c r="P125" s="32"/>
      <c r="Q125" s="33"/>
      <c r="R125" s="32"/>
      <c r="S125" s="33"/>
      <c r="T125" s="32"/>
      <c r="U125" s="33"/>
      <c r="V125" s="32"/>
      <c r="W125" s="33"/>
    </row>
    <row r="126" spans="1:23" ht="14.4" customHeight="1" x14ac:dyDescent="0.25">
      <c r="A126" s="34" t="s">
        <v>125</v>
      </c>
      <c r="B126" s="34"/>
      <c r="C126" s="34" t="s">
        <v>275</v>
      </c>
      <c r="D126" s="61"/>
      <c r="E126" s="62"/>
      <c r="F126" s="35"/>
      <c r="G126" s="36"/>
      <c r="H126" s="35"/>
      <c r="I126" s="36"/>
      <c r="J126" s="35"/>
      <c r="K126" s="36"/>
      <c r="L126" s="35"/>
      <c r="M126" s="36"/>
      <c r="N126" s="35"/>
      <c r="O126" s="36"/>
      <c r="P126" s="35"/>
      <c r="Q126" s="36"/>
      <c r="R126" s="35"/>
      <c r="S126" s="36"/>
      <c r="T126" s="35"/>
      <c r="U126" s="36"/>
      <c r="V126" s="35"/>
      <c r="W126" s="36"/>
    </row>
    <row r="127" spans="1:23" ht="14.4" customHeight="1" x14ac:dyDescent="0.25">
      <c r="A127" s="31" t="s">
        <v>127</v>
      </c>
      <c r="B127" s="31"/>
      <c r="C127" s="31" t="s">
        <v>223</v>
      </c>
      <c r="D127" s="59">
        <v>215</v>
      </c>
      <c r="E127" s="60" t="s">
        <v>278</v>
      </c>
      <c r="F127" s="32">
        <f t="shared" ref="F127:F150" si="162">N127</f>
        <v>59</v>
      </c>
      <c r="G127" s="33">
        <f>$D127*F127</f>
        <v>12685</v>
      </c>
      <c r="H127" s="32">
        <v>54</v>
      </c>
      <c r="I127" s="33">
        <f>$D127*H127</f>
        <v>11610</v>
      </c>
      <c r="J127" s="32">
        <f t="shared" ref="J127:J150" si="163">$H127*$K$11</f>
        <v>52.92</v>
      </c>
      <c r="K127" s="33">
        <f>$D127*J127</f>
        <v>11377.800000000001</v>
      </c>
      <c r="L127" s="32">
        <v>54</v>
      </c>
      <c r="M127" s="33">
        <f>$D127*L127</f>
        <v>11610</v>
      </c>
      <c r="N127" s="32">
        <v>59</v>
      </c>
      <c r="O127" s="33">
        <f>$D127*N127</f>
        <v>12685</v>
      </c>
      <c r="P127" s="32">
        <v>59.95</v>
      </c>
      <c r="Q127" s="33">
        <f t="shared" ref="Q127" si="164">$D127*P127</f>
        <v>12889.25</v>
      </c>
      <c r="R127" s="32">
        <v>54.1</v>
      </c>
      <c r="S127" s="33">
        <f t="shared" ref="S127" si="165">$D127*R127</f>
        <v>11631.5</v>
      </c>
      <c r="T127" s="32">
        <v>59.9</v>
      </c>
      <c r="U127" s="33">
        <f t="shared" ref="U127" si="166">$D127*T127</f>
        <v>12878.5</v>
      </c>
      <c r="V127" s="32"/>
      <c r="W127" s="33">
        <f>$D127*V127</f>
        <v>0</v>
      </c>
    </row>
    <row r="128" spans="1:23" ht="14.4" customHeight="1" x14ac:dyDescent="0.25">
      <c r="A128" s="31" t="s">
        <v>128</v>
      </c>
      <c r="B128" s="31" t="s">
        <v>220</v>
      </c>
      <c r="C128" s="31" t="s">
        <v>225</v>
      </c>
      <c r="D128" s="59">
        <v>10</v>
      </c>
      <c r="E128" s="60" t="s">
        <v>278</v>
      </c>
      <c r="F128" s="32">
        <f t="shared" si="162"/>
        <v>66</v>
      </c>
      <c r="G128" s="33" t="s">
        <v>285</v>
      </c>
      <c r="H128" s="32">
        <v>65</v>
      </c>
      <c r="I128" s="33" t="s">
        <v>285</v>
      </c>
      <c r="J128" s="32">
        <f t="shared" si="163"/>
        <v>63.699999999999996</v>
      </c>
      <c r="K128" s="33" t="s">
        <v>285</v>
      </c>
      <c r="L128" s="32">
        <v>65</v>
      </c>
      <c r="M128" s="33" t="s">
        <v>285</v>
      </c>
      <c r="N128" s="32">
        <v>66</v>
      </c>
      <c r="O128" s="33" t="s">
        <v>285</v>
      </c>
      <c r="P128" s="32">
        <v>85.5</v>
      </c>
      <c r="Q128" s="33" t="s">
        <v>285</v>
      </c>
      <c r="R128" s="32">
        <v>77.5</v>
      </c>
      <c r="S128" s="33" t="s">
        <v>285</v>
      </c>
      <c r="T128" s="32">
        <v>77.8</v>
      </c>
      <c r="U128" s="33" t="s">
        <v>285</v>
      </c>
      <c r="V128" s="32"/>
      <c r="W128" s="37" t="s">
        <v>285</v>
      </c>
    </row>
    <row r="129" spans="1:23" ht="14.4" customHeight="1" x14ac:dyDescent="0.25">
      <c r="A129" s="31" t="s">
        <v>129</v>
      </c>
      <c r="B129" s="31" t="s">
        <v>220</v>
      </c>
      <c r="C129" s="31" t="s">
        <v>226</v>
      </c>
      <c r="D129" s="59">
        <v>10</v>
      </c>
      <c r="E129" s="60" t="s">
        <v>278</v>
      </c>
      <c r="F129" s="32">
        <f t="shared" si="162"/>
        <v>69</v>
      </c>
      <c r="G129" s="33" t="s">
        <v>285</v>
      </c>
      <c r="H129" s="32">
        <v>65</v>
      </c>
      <c r="I129" s="33" t="s">
        <v>285</v>
      </c>
      <c r="J129" s="32">
        <f t="shared" si="163"/>
        <v>63.699999999999996</v>
      </c>
      <c r="K129" s="33" t="s">
        <v>285</v>
      </c>
      <c r="L129" s="32">
        <v>65</v>
      </c>
      <c r="M129" s="33" t="s">
        <v>285</v>
      </c>
      <c r="N129" s="32">
        <v>69</v>
      </c>
      <c r="O129" s="33" t="s">
        <v>285</v>
      </c>
      <c r="P129" s="32">
        <v>95</v>
      </c>
      <c r="Q129" s="33" t="s">
        <v>285</v>
      </c>
      <c r="R129" s="32">
        <v>79.900000000000006</v>
      </c>
      <c r="S129" s="33" t="s">
        <v>285</v>
      </c>
      <c r="T129" s="32">
        <v>97.2</v>
      </c>
      <c r="U129" s="33" t="s">
        <v>285</v>
      </c>
      <c r="V129" s="32"/>
      <c r="W129" s="37" t="s">
        <v>285</v>
      </c>
    </row>
    <row r="130" spans="1:23" ht="14.4" customHeight="1" x14ac:dyDescent="0.25">
      <c r="A130" s="31" t="s">
        <v>130</v>
      </c>
      <c r="B130" s="31" t="s">
        <v>220</v>
      </c>
      <c r="C130" s="31" t="s">
        <v>227</v>
      </c>
      <c r="D130" s="59">
        <v>10</v>
      </c>
      <c r="E130" s="60" t="s">
        <v>278</v>
      </c>
      <c r="F130" s="32">
        <f t="shared" si="162"/>
        <v>19.75</v>
      </c>
      <c r="G130" s="33" t="s">
        <v>285</v>
      </c>
      <c r="H130" s="32">
        <v>6.95</v>
      </c>
      <c r="I130" s="33" t="s">
        <v>285</v>
      </c>
      <c r="J130" s="32">
        <f t="shared" si="163"/>
        <v>6.8109999999999999</v>
      </c>
      <c r="K130" s="33" t="s">
        <v>285</v>
      </c>
      <c r="L130" s="32">
        <v>6.95</v>
      </c>
      <c r="M130" s="33" t="s">
        <v>285</v>
      </c>
      <c r="N130" s="32">
        <v>19.75</v>
      </c>
      <c r="O130" s="33" t="s">
        <v>285</v>
      </c>
      <c r="P130" s="32">
        <v>5</v>
      </c>
      <c r="Q130" s="33" t="s">
        <v>285</v>
      </c>
      <c r="R130" s="32">
        <v>18</v>
      </c>
      <c r="S130" s="33" t="s">
        <v>285</v>
      </c>
      <c r="T130" s="32">
        <v>112.9</v>
      </c>
      <c r="U130" s="33" t="s">
        <v>285</v>
      </c>
      <c r="V130" s="32"/>
      <c r="W130" s="37" t="s">
        <v>285</v>
      </c>
    </row>
    <row r="131" spans="1:23" ht="14.4" customHeight="1" x14ac:dyDescent="0.25">
      <c r="A131" s="31" t="s">
        <v>131</v>
      </c>
      <c r="B131" s="31" t="s">
        <v>220</v>
      </c>
      <c r="C131" s="31" t="s">
        <v>228</v>
      </c>
      <c r="D131" s="59">
        <v>1</v>
      </c>
      <c r="E131" s="60" t="s">
        <v>279</v>
      </c>
      <c r="F131" s="32">
        <f t="shared" si="162"/>
        <v>29</v>
      </c>
      <c r="G131" s="33" t="s">
        <v>285</v>
      </c>
      <c r="H131" s="32">
        <v>2</v>
      </c>
      <c r="I131" s="33" t="s">
        <v>285</v>
      </c>
      <c r="J131" s="32">
        <f t="shared" si="163"/>
        <v>1.96</v>
      </c>
      <c r="K131" s="33" t="s">
        <v>285</v>
      </c>
      <c r="L131" s="32">
        <v>2</v>
      </c>
      <c r="M131" s="33" t="s">
        <v>285</v>
      </c>
      <c r="N131" s="32">
        <v>29</v>
      </c>
      <c r="O131" s="33" t="s">
        <v>285</v>
      </c>
      <c r="P131" s="32">
        <v>12.5</v>
      </c>
      <c r="Q131" s="33" t="s">
        <v>285</v>
      </c>
      <c r="R131" s="32">
        <v>46.2</v>
      </c>
      <c r="S131" s="33" t="s">
        <v>285</v>
      </c>
      <c r="T131" s="32">
        <v>102.7</v>
      </c>
      <c r="U131" s="33" t="s">
        <v>285</v>
      </c>
      <c r="V131" s="32"/>
      <c r="W131" s="37" t="s">
        <v>285</v>
      </c>
    </row>
    <row r="132" spans="1:23" ht="14.4" customHeight="1" x14ac:dyDescent="0.25">
      <c r="A132" s="31" t="s">
        <v>132</v>
      </c>
      <c r="B132" s="31" t="s">
        <v>220</v>
      </c>
      <c r="C132" s="31" t="s">
        <v>229</v>
      </c>
      <c r="D132" s="59">
        <v>10</v>
      </c>
      <c r="E132" s="60" t="s">
        <v>279</v>
      </c>
      <c r="F132" s="32">
        <f t="shared" si="162"/>
        <v>5.95</v>
      </c>
      <c r="G132" s="33" t="s">
        <v>285</v>
      </c>
      <c r="H132" s="32">
        <v>7.5</v>
      </c>
      <c r="I132" s="33" t="s">
        <v>285</v>
      </c>
      <c r="J132" s="32">
        <f t="shared" si="163"/>
        <v>7.35</v>
      </c>
      <c r="K132" s="33" t="s">
        <v>285</v>
      </c>
      <c r="L132" s="32">
        <v>7.5</v>
      </c>
      <c r="M132" s="33" t="s">
        <v>285</v>
      </c>
      <c r="N132" s="32">
        <v>5.95</v>
      </c>
      <c r="O132" s="33" t="s">
        <v>285</v>
      </c>
      <c r="P132" s="32">
        <v>28.2</v>
      </c>
      <c r="Q132" s="33" t="s">
        <v>285</v>
      </c>
      <c r="R132" s="32">
        <v>11.5</v>
      </c>
      <c r="S132" s="33" t="s">
        <v>285</v>
      </c>
      <c r="T132" s="32">
        <v>29.3</v>
      </c>
      <c r="U132" s="33" t="s">
        <v>285</v>
      </c>
      <c r="V132" s="32"/>
      <c r="W132" s="37" t="s">
        <v>285</v>
      </c>
    </row>
    <row r="133" spans="1:23" ht="14.4" customHeight="1" x14ac:dyDescent="0.25">
      <c r="A133" s="31" t="s">
        <v>133</v>
      </c>
      <c r="B133" s="31" t="s">
        <v>220</v>
      </c>
      <c r="C133" s="31" t="s">
        <v>230</v>
      </c>
      <c r="D133" s="59">
        <v>1</v>
      </c>
      <c r="E133" s="60" t="s">
        <v>279</v>
      </c>
      <c r="F133" s="32">
        <f t="shared" si="162"/>
        <v>19.7</v>
      </c>
      <c r="G133" s="33" t="s">
        <v>285</v>
      </c>
      <c r="H133" s="87">
        <v>12</v>
      </c>
      <c r="I133" s="33" t="s">
        <v>285</v>
      </c>
      <c r="J133" s="32">
        <f t="shared" si="163"/>
        <v>11.76</v>
      </c>
      <c r="K133" s="33" t="s">
        <v>285</v>
      </c>
      <c r="L133" s="32">
        <v>22</v>
      </c>
      <c r="M133" s="33" t="s">
        <v>285</v>
      </c>
      <c r="N133" s="32">
        <v>19.7</v>
      </c>
      <c r="O133" s="33" t="s">
        <v>285</v>
      </c>
      <c r="P133" s="32">
        <v>14.5</v>
      </c>
      <c r="Q133" s="33" t="s">
        <v>285</v>
      </c>
      <c r="R133" s="32">
        <v>18.5</v>
      </c>
      <c r="S133" s="33" t="s">
        <v>285</v>
      </c>
      <c r="T133" s="32">
        <v>25.5</v>
      </c>
      <c r="U133" s="33" t="s">
        <v>285</v>
      </c>
      <c r="V133" s="32"/>
      <c r="W133" s="37" t="s">
        <v>285</v>
      </c>
    </row>
    <row r="134" spans="1:23" ht="14.4" customHeight="1" x14ac:dyDescent="0.25">
      <c r="A134" s="31" t="s">
        <v>134</v>
      </c>
      <c r="B134" s="31" t="s">
        <v>220</v>
      </c>
      <c r="C134" s="31" t="s">
        <v>231</v>
      </c>
      <c r="D134" s="59">
        <v>1</v>
      </c>
      <c r="E134" s="60" t="s">
        <v>279</v>
      </c>
      <c r="F134" s="32">
        <f t="shared" si="162"/>
        <v>4.5</v>
      </c>
      <c r="G134" s="33" t="s">
        <v>285</v>
      </c>
      <c r="H134" s="87">
        <v>5</v>
      </c>
      <c r="I134" s="33" t="s">
        <v>285</v>
      </c>
      <c r="J134" s="32">
        <f t="shared" si="163"/>
        <v>4.9000000000000004</v>
      </c>
      <c r="K134" s="33" t="s">
        <v>285</v>
      </c>
      <c r="L134" s="32">
        <v>6</v>
      </c>
      <c r="M134" s="33" t="s">
        <v>285</v>
      </c>
      <c r="N134" s="32">
        <v>4.5</v>
      </c>
      <c r="O134" s="33" t="s">
        <v>285</v>
      </c>
      <c r="P134" s="32">
        <v>4</v>
      </c>
      <c r="Q134" s="33" t="s">
        <v>285</v>
      </c>
      <c r="R134" s="32">
        <v>143</v>
      </c>
      <c r="S134" s="33" t="s">
        <v>285</v>
      </c>
      <c r="T134" s="32">
        <v>10.7</v>
      </c>
      <c r="U134" s="33" t="s">
        <v>285</v>
      </c>
      <c r="V134" s="32"/>
      <c r="W134" s="37" t="s">
        <v>285</v>
      </c>
    </row>
    <row r="135" spans="1:23" ht="14.4" customHeight="1" x14ac:dyDescent="0.25">
      <c r="A135" s="31" t="s">
        <v>135</v>
      </c>
      <c r="B135" s="31" t="s">
        <v>220</v>
      </c>
      <c r="C135" s="31" t="s">
        <v>232</v>
      </c>
      <c r="D135" s="59">
        <v>1</v>
      </c>
      <c r="E135" s="60" t="s">
        <v>279</v>
      </c>
      <c r="F135" s="32">
        <f t="shared" si="162"/>
        <v>4.5</v>
      </c>
      <c r="G135" s="33" t="s">
        <v>285</v>
      </c>
      <c r="H135" s="87">
        <v>10</v>
      </c>
      <c r="I135" s="33" t="s">
        <v>285</v>
      </c>
      <c r="J135" s="32">
        <f t="shared" si="163"/>
        <v>9.8000000000000007</v>
      </c>
      <c r="K135" s="33" t="s">
        <v>285</v>
      </c>
      <c r="L135" s="32">
        <v>15</v>
      </c>
      <c r="M135" s="33" t="s">
        <v>285</v>
      </c>
      <c r="N135" s="32">
        <v>4.5</v>
      </c>
      <c r="O135" s="33" t="s">
        <v>285</v>
      </c>
      <c r="P135" s="32">
        <v>5.2</v>
      </c>
      <c r="Q135" s="33" t="s">
        <v>285</v>
      </c>
      <c r="R135" s="32">
        <v>27.2</v>
      </c>
      <c r="S135" s="33" t="s">
        <v>285</v>
      </c>
      <c r="T135" s="32">
        <v>62.1</v>
      </c>
      <c r="U135" s="33" t="s">
        <v>285</v>
      </c>
      <c r="V135" s="32"/>
      <c r="W135" s="37" t="s">
        <v>285</v>
      </c>
    </row>
    <row r="136" spans="1:23" ht="14.4" customHeight="1" x14ac:dyDescent="0.25">
      <c r="A136" s="31" t="s">
        <v>136</v>
      </c>
      <c r="B136" s="31"/>
      <c r="C136" s="31" t="s">
        <v>233</v>
      </c>
      <c r="D136" s="59">
        <v>10</v>
      </c>
      <c r="E136" s="60" t="s">
        <v>280</v>
      </c>
      <c r="F136" s="32">
        <f t="shared" si="162"/>
        <v>275</v>
      </c>
      <c r="G136" s="33">
        <f>$D136*F136</f>
        <v>2750</v>
      </c>
      <c r="H136" s="87">
        <v>156</v>
      </c>
      <c r="I136" s="33">
        <f>$D136*H136</f>
        <v>1560</v>
      </c>
      <c r="J136" s="32">
        <f t="shared" si="163"/>
        <v>152.88</v>
      </c>
      <c r="K136" s="33">
        <f>$D136*J136</f>
        <v>1528.8</v>
      </c>
      <c r="L136" s="32">
        <v>73</v>
      </c>
      <c r="M136" s="33">
        <f>$D136*L136</f>
        <v>730</v>
      </c>
      <c r="N136" s="32">
        <v>275</v>
      </c>
      <c r="O136" s="33">
        <f>$D136*N136</f>
        <v>2750</v>
      </c>
      <c r="P136" s="32">
        <v>272.10000000000002</v>
      </c>
      <c r="Q136" s="33">
        <f t="shared" ref="Q136" si="167">$D136*P136</f>
        <v>2721</v>
      </c>
      <c r="R136" s="32">
        <v>420</v>
      </c>
      <c r="S136" s="33">
        <f t="shared" ref="S136:S138" si="168">$D136*R136</f>
        <v>4200</v>
      </c>
      <c r="T136" s="32">
        <v>392.7</v>
      </c>
      <c r="U136" s="33">
        <f t="shared" ref="U136" si="169">$D136*T136</f>
        <v>3927</v>
      </c>
      <c r="V136" s="32"/>
      <c r="W136" s="33">
        <f>$D136*V136</f>
        <v>0</v>
      </c>
    </row>
    <row r="137" spans="1:23" ht="14.4" customHeight="1" x14ac:dyDescent="0.25">
      <c r="A137" s="31" t="s">
        <v>137</v>
      </c>
      <c r="B137" s="31"/>
      <c r="C137" s="31" t="s">
        <v>234</v>
      </c>
      <c r="D137" s="59">
        <v>2</v>
      </c>
      <c r="E137" s="60" t="s">
        <v>280</v>
      </c>
      <c r="F137" s="32">
        <f t="shared" si="162"/>
        <v>79</v>
      </c>
      <c r="G137" s="33">
        <f>$D137*F137</f>
        <v>158</v>
      </c>
      <c r="H137" s="32">
        <v>62</v>
      </c>
      <c r="I137" s="33">
        <f>$D137*H137</f>
        <v>124</v>
      </c>
      <c r="J137" s="32">
        <f t="shared" si="163"/>
        <v>60.76</v>
      </c>
      <c r="K137" s="33">
        <f>$D137*J137</f>
        <v>121.52</v>
      </c>
      <c r="L137" s="32">
        <v>62</v>
      </c>
      <c r="M137" s="33">
        <f>$D137*L137</f>
        <v>124</v>
      </c>
      <c r="N137" s="32">
        <v>79</v>
      </c>
      <c r="O137" s="33">
        <f>$D137*N137</f>
        <v>158</v>
      </c>
      <c r="P137" s="32">
        <v>65</v>
      </c>
      <c r="Q137" s="33">
        <f t="shared" ref="Q137" si="170">$D137*P137</f>
        <v>130</v>
      </c>
      <c r="R137" s="32">
        <v>102</v>
      </c>
      <c r="S137" s="33">
        <f t="shared" si="168"/>
        <v>204</v>
      </c>
      <c r="T137" s="32">
        <v>79.8</v>
      </c>
      <c r="U137" s="33">
        <f t="shared" ref="U137" si="171">$D137*T137</f>
        <v>159.6</v>
      </c>
      <c r="V137" s="32"/>
      <c r="W137" s="33">
        <f>$D137*V137</f>
        <v>0</v>
      </c>
    </row>
    <row r="138" spans="1:23" ht="14.4" customHeight="1" x14ac:dyDescent="0.25">
      <c r="A138" s="31" t="s">
        <v>138</v>
      </c>
      <c r="B138" s="31"/>
      <c r="C138" s="31" t="s">
        <v>235</v>
      </c>
      <c r="D138" s="59">
        <v>5</v>
      </c>
      <c r="E138" s="60" t="s">
        <v>280</v>
      </c>
      <c r="F138" s="32">
        <f t="shared" si="162"/>
        <v>84</v>
      </c>
      <c r="G138" s="33">
        <f>$D138*F138</f>
        <v>420</v>
      </c>
      <c r="H138" s="32">
        <v>65</v>
      </c>
      <c r="I138" s="33">
        <f>$D138*H138</f>
        <v>325</v>
      </c>
      <c r="J138" s="32">
        <f t="shared" si="163"/>
        <v>63.699999999999996</v>
      </c>
      <c r="K138" s="33">
        <f>$D138*J138</f>
        <v>318.5</v>
      </c>
      <c r="L138" s="32">
        <v>65</v>
      </c>
      <c r="M138" s="33">
        <f>$D138*L138</f>
        <v>325</v>
      </c>
      <c r="N138" s="32">
        <v>84</v>
      </c>
      <c r="O138" s="33">
        <f>$D138*N138</f>
        <v>420</v>
      </c>
      <c r="P138" s="32">
        <v>65</v>
      </c>
      <c r="Q138" s="33">
        <f t="shared" ref="Q138" si="172">$D138*P138</f>
        <v>325</v>
      </c>
      <c r="R138" s="32">
        <v>125</v>
      </c>
      <c r="S138" s="33">
        <f t="shared" si="168"/>
        <v>625</v>
      </c>
      <c r="T138" s="32">
        <v>126.6</v>
      </c>
      <c r="U138" s="33">
        <f t="shared" ref="U138" si="173">$D138*T138</f>
        <v>633</v>
      </c>
      <c r="V138" s="32"/>
      <c r="W138" s="33">
        <f>$D138*V138</f>
        <v>0</v>
      </c>
    </row>
    <row r="139" spans="1:23" ht="14.4" customHeight="1" x14ac:dyDescent="0.25">
      <c r="A139" s="31" t="s">
        <v>139</v>
      </c>
      <c r="B139" s="31" t="s">
        <v>220</v>
      </c>
      <c r="C139" s="31" t="s">
        <v>236</v>
      </c>
      <c r="D139" s="59">
        <v>1</v>
      </c>
      <c r="E139" s="60" t="s">
        <v>280</v>
      </c>
      <c r="F139" s="32">
        <f t="shared" si="162"/>
        <v>120</v>
      </c>
      <c r="G139" s="33" t="s">
        <v>285</v>
      </c>
      <c r="H139" s="32">
        <v>75</v>
      </c>
      <c r="I139" s="33" t="s">
        <v>285</v>
      </c>
      <c r="J139" s="32">
        <f t="shared" si="163"/>
        <v>73.5</v>
      </c>
      <c r="K139" s="33" t="s">
        <v>285</v>
      </c>
      <c r="L139" s="32">
        <v>75</v>
      </c>
      <c r="M139" s="33" t="s">
        <v>285</v>
      </c>
      <c r="N139" s="32">
        <v>120</v>
      </c>
      <c r="O139" s="33" t="s">
        <v>285</v>
      </c>
      <c r="P139" s="32">
        <v>90</v>
      </c>
      <c r="Q139" s="33" t="s">
        <v>285</v>
      </c>
      <c r="R139" s="32">
        <v>210</v>
      </c>
      <c r="S139" s="33" t="s">
        <v>285</v>
      </c>
      <c r="T139" s="32">
        <v>142.80000000000001</v>
      </c>
      <c r="U139" s="33" t="s">
        <v>285</v>
      </c>
      <c r="V139" s="32"/>
      <c r="W139" s="37" t="s">
        <v>285</v>
      </c>
    </row>
    <row r="140" spans="1:23" ht="14.4" customHeight="1" x14ac:dyDescent="0.25">
      <c r="A140" s="31" t="s">
        <v>140</v>
      </c>
      <c r="B140" s="31"/>
      <c r="C140" s="31" t="s">
        <v>237</v>
      </c>
      <c r="D140" s="59">
        <v>7</v>
      </c>
      <c r="E140" s="60" t="s">
        <v>280</v>
      </c>
      <c r="F140" s="32">
        <f t="shared" si="162"/>
        <v>117</v>
      </c>
      <c r="G140" s="33">
        <f>$D140*F140</f>
        <v>819</v>
      </c>
      <c r="H140" s="87">
        <v>150</v>
      </c>
      <c r="I140" s="33">
        <f>$D140*H140</f>
        <v>1050</v>
      </c>
      <c r="J140" s="32">
        <f t="shared" si="163"/>
        <v>147</v>
      </c>
      <c r="K140" s="33">
        <f>$D140*J140</f>
        <v>1029</v>
      </c>
      <c r="L140" s="32">
        <v>250</v>
      </c>
      <c r="M140" s="33">
        <f>$D140*L140</f>
        <v>1750</v>
      </c>
      <c r="N140" s="32">
        <v>117</v>
      </c>
      <c r="O140" s="33">
        <f>$D140*N140</f>
        <v>819</v>
      </c>
      <c r="P140" s="32">
        <v>295</v>
      </c>
      <c r="Q140" s="33">
        <f t="shared" ref="Q140" si="174">$D140*P140</f>
        <v>2065</v>
      </c>
      <c r="R140" s="32">
        <v>502</v>
      </c>
      <c r="S140" s="33">
        <f t="shared" ref="S140:S141" si="175">$D140*R140</f>
        <v>3514</v>
      </c>
      <c r="T140" s="32">
        <v>230.3</v>
      </c>
      <c r="U140" s="33">
        <f t="shared" ref="U140" si="176">$D140*T140</f>
        <v>1612.1000000000001</v>
      </c>
      <c r="V140" s="32"/>
      <c r="W140" s="33">
        <f>$D140*V140</f>
        <v>0</v>
      </c>
    </row>
    <row r="141" spans="1:23" ht="14.4" customHeight="1" x14ac:dyDescent="0.25">
      <c r="A141" s="31" t="s">
        <v>141</v>
      </c>
      <c r="B141" s="31"/>
      <c r="C141" s="31" t="s">
        <v>238</v>
      </c>
      <c r="D141" s="59">
        <v>2</v>
      </c>
      <c r="E141" s="60" t="s">
        <v>279</v>
      </c>
      <c r="F141" s="32">
        <f t="shared" si="162"/>
        <v>20</v>
      </c>
      <c r="G141" s="33">
        <f>$D141*F141</f>
        <v>40</v>
      </c>
      <c r="H141" s="32">
        <v>20</v>
      </c>
      <c r="I141" s="33">
        <f>$D141*H141</f>
        <v>40</v>
      </c>
      <c r="J141" s="32">
        <f t="shared" si="163"/>
        <v>19.600000000000001</v>
      </c>
      <c r="K141" s="33">
        <f>$D141*J141</f>
        <v>39.200000000000003</v>
      </c>
      <c r="L141" s="32">
        <v>20</v>
      </c>
      <c r="M141" s="33">
        <f>$D141*L141</f>
        <v>40</v>
      </c>
      <c r="N141" s="32">
        <v>20</v>
      </c>
      <c r="O141" s="33">
        <f>$D141*N141</f>
        <v>40</v>
      </c>
      <c r="P141" s="32">
        <v>28.9</v>
      </c>
      <c r="Q141" s="33">
        <f t="shared" ref="Q141" si="177">$D141*P141</f>
        <v>57.8</v>
      </c>
      <c r="R141" s="32">
        <v>38.5</v>
      </c>
      <c r="S141" s="33">
        <f t="shared" si="175"/>
        <v>77</v>
      </c>
      <c r="T141" s="32">
        <v>31.9</v>
      </c>
      <c r="U141" s="33">
        <f t="shared" ref="U141" si="178">$D141*T141</f>
        <v>63.8</v>
      </c>
      <c r="V141" s="32"/>
      <c r="W141" s="33">
        <f>$D141*V141</f>
        <v>0</v>
      </c>
    </row>
    <row r="142" spans="1:23" ht="14.4" customHeight="1" x14ac:dyDescent="0.25">
      <c r="A142" s="31" t="s">
        <v>142</v>
      </c>
      <c r="B142" s="31" t="s">
        <v>220</v>
      </c>
      <c r="C142" s="31" t="s">
        <v>239</v>
      </c>
      <c r="D142" s="59">
        <v>1</v>
      </c>
      <c r="E142" s="60" t="s">
        <v>280</v>
      </c>
      <c r="F142" s="32">
        <f t="shared" si="162"/>
        <v>7</v>
      </c>
      <c r="G142" s="33" t="s">
        <v>285</v>
      </c>
      <c r="H142" s="87">
        <v>3</v>
      </c>
      <c r="I142" s="33" t="s">
        <v>285</v>
      </c>
      <c r="J142" s="32">
        <f t="shared" si="163"/>
        <v>2.94</v>
      </c>
      <c r="K142" s="33" t="s">
        <v>285</v>
      </c>
      <c r="L142" s="32">
        <v>10</v>
      </c>
      <c r="M142" s="33" t="s">
        <v>285</v>
      </c>
      <c r="N142" s="32">
        <v>7</v>
      </c>
      <c r="O142" s="33" t="s">
        <v>285</v>
      </c>
      <c r="P142" s="32">
        <v>10</v>
      </c>
      <c r="Q142" s="33" t="s">
        <v>285</v>
      </c>
      <c r="R142" s="32">
        <v>12</v>
      </c>
      <c r="S142" s="33" t="s">
        <v>285</v>
      </c>
      <c r="T142" s="32">
        <v>7.8</v>
      </c>
      <c r="U142" s="33" t="s">
        <v>285</v>
      </c>
      <c r="V142" s="32"/>
      <c r="W142" s="37" t="s">
        <v>285</v>
      </c>
    </row>
    <row r="143" spans="1:23" ht="14.4" customHeight="1" x14ac:dyDescent="0.25">
      <c r="A143" s="31" t="s">
        <v>143</v>
      </c>
      <c r="B143" s="31" t="s">
        <v>220</v>
      </c>
      <c r="C143" s="31" t="s">
        <v>240</v>
      </c>
      <c r="D143" s="59">
        <v>1</v>
      </c>
      <c r="E143" s="60" t="s">
        <v>280</v>
      </c>
      <c r="F143" s="32">
        <f t="shared" si="162"/>
        <v>9</v>
      </c>
      <c r="G143" s="33" t="s">
        <v>285</v>
      </c>
      <c r="H143" s="87">
        <v>5</v>
      </c>
      <c r="I143" s="33" t="s">
        <v>285</v>
      </c>
      <c r="J143" s="32">
        <f t="shared" si="163"/>
        <v>4.9000000000000004</v>
      </c>
      <c r="K143" s="33" t="s">
        <v>285</v>
      </c>
      <c r="L143" s="32">
        <v>15</v>
      </c>
      <c r="M143" s="33" t="s">
        <v>285</v>
      </c>
      <c r="N143" s="32">
        <v>9</v>
      </c>
      <c r="O143" s="33" t="s">
        <v>285</v>
      </c>
      <c r="P143" s="32">
        <v>25</v>
      </c>
      <c r="Q143" s="33" t="s">
        <v>285</v>
      </c>
      <c r="R143" s="32">
        <v>20</v>
      </c>
      <c r="S143" s="33" t="s">
        <v>285</v>
      </c>
      <c r="T143" s="32">
        <v>9</v>
      </c>
      <c r="U143" s="33" t="s">
        <v>285</v>
      </c>
      <c r="V143" s="32"/>
      <c r="W143" s="37" t="s">
        <v>285</v>
      </c>
    </row>
    <row r="144" spans="1:23" ht="14.4" customHeight="1" x14ac:dyDescent="0.25">
      <c r="A144" s="31" t="s">
        <v>144</v>
      </c>
      <c r="B144" s="31" t="s">
        <v>220</v>
      </c>
      <c r="C144" s="31" t="s">
        <v>241</v>
      </c>
      <c r="D144" s="59">
        <v>1</v>
      </c>
      <c r="E144" s="60" t="s">
        <v>280</v>
      </c>
      <c r="F144" s="32">
        <f t="shared" si="162"/>
        <v>15</v>
      </c>
      <c r="G144" s="33" t="s">
        <v>285</v>
      </c>
      <c r="H144" s="87">
        <v>5</v>
      </c>
      <c r="I144" s="33" t="s">
        <v>285</v>
      </c>
      <c r="J144" s="32">
        <f t="shared" si="163"/>
        <v>4.9000000000000004</v>
      </c>
      <c r="K144" s="33" t="s">
        <v>285</v>
      </c>
      <c r="L144" s="32">
        <v>10</v>
      </c>
      <c r="M144" s="33" t="s">
        <v>285</v>
      </c>
      <c r="N144" s="32">
        <v>15</v>
      </c>
      <c r="O144" s="33" t="s">
        <v>285</v>
      </c>
      <c r="P144" s="32">
        <v>10</v>
      </c>
      <c r="Q144" s="33" t="s">
        <v>285</v>
      </c>
      <c r="R144" s="32">
        <v>25</v>
      </c>
      <c r="S144" s="33" t="s">
        <v>285</v>
      </c>
      <c r="T144" s="32">
        <v>4.5999999999999996</v>
      </c>
      <c r="U144" s="33" t="s">
        <v>285</v>
      </c>
      <c r="V144" s="32"/>
      <c r="W144" s="37" t="s">
        <v>285</v>
      </c>
    </row>
    <row r="145" spans="1:23" ht="14.4" customHeight="1" x14ac:dyDescent="0.25">
      <c r="A145" s="31" t="s">
        <v>145</v>
      </c>
      <c r="B145" s="31" t="s">
        <v>220</v>
      </c>
      <c r="C145" s="31" t="s">
        <v>242</v>
      </c>
      <c r="D145" s="59">
        <v>1</v>
      </c>
      <c r="E145" s="60" t="s">
        <v>280</v>
      </c>
      <c r="F145" s="32">
        <f t="shared" si="162"/>
        <v>17</v>
      </c>
      <c r="G145" s="33" t="s">
        <v>285</v>
      </c>
      <c r="H145" s="87">
        <v>7</v>
      </c>
      <c r="I145" s="33" t="s">
        <v>285</v>
      </c>
      <c r="J145" s="32">
        <f t="shared" si="163"/>
        <v>6.8599999999999994</v>
      </c>
      <c r="K145" s="33" t="s">
        <v>285</v>
      </c>
      <c r="L145" s="32">
        <v>15</v>
      </c>
      <c r="M145" s="33" t="s">
        <v>285</v>
      </c>
      <c r="N145" s="32">
        <v>17</v>
      </c>
      <c r="O145" s="33" t="s">
        <v>285</v>
      </c>
      <c r="P145" s="32">
        <v>25</v>
      </c>
      <c r="Q145" s="33" t="s">
        <v>285</v>
      </c>
      <c r="R145" s="32">
        <v>35</v>
      </c>
      <c r="S145" s="33" t="s">
        <v>285</v>
      </c>
      <c r="T145" s="32">
        <v>6.8</v>
      </c>
      <c r="U145" s="33" t="s">
        <v>285</v>
      </c>
      <c r="V145" s="32"/>
      <c r="W145" s="37" t="s">
        <v>285</v>
      </c>
    </row>
    <row r="146" spans="1:23" ht="14.4" customHeight="1" x14ac:dyDescent="0.25">
      <c r="A146" s="31" t="s">
        <v>146</v>
      </c>
      <c r="B146" s="31" t="s">
        <v>220</v>
      </c>
      <c r="C146" s="31" t="s">
        <v>243</v>
      </c>
      <c r="D146" s="59">
        <v>1</v>
      </c>
      <c r="E146" s="60" t="s">
        <v>280</v>
      </c>
      <c r="F146" s="32">
        <f t="shared" si="162"/>
        <v>6</v>
      </c>
      <c r="G146" s="33" t="s">
        <v>285</v>
      </c>
      <c r="H146" s="87">
        <v>8</v>
      </c>
      <c r="I146" s="33" t="s">
        <v>285</v>
      </c>
      <c r="J146" s="32">
        <f t="shared" si="163"/>
        <v>7.84</v>
      </c>
      <c r="K146" s="33" t="s">
        <v>285</v>
      </c>
      <c r="L146" s="32">
        <v>20</v>
      </c>
      <c r="M146" s="33" t="s">
        <v>285</v>
      </c>
      <c r="N146" s="32">
        <v>6</v>
      </c>
      <c r="O146" s="33" t="s">
        <v>285</v>
      </c>
      <c r="P146" s="32">
        <v>3.5</v>
      </c>
      <c r="Q146" s="33" t="s">
        <v>285</v>
      </c>
      <c r="R146" s="32">
        <v>8</v>
      </c>
      <c r="S146" s="33" t="s">
        <v>285</v>
      </c>
      <c r="T146" s="32">
        <v>3.7</v>
      </c>
      <c r="U146" s="33" t="s">
        <v>285</v>
      </c>
      <c r="V146" s="32"/>
      <c r="W146" s="37" t="s">
        <v>285</v>
      </c>
    </row>
    <row r="147" spans="1:23" ht="14.4" customHeight="1" x14ac:dyDescent="0.25">
      <c r="A147" s="31" t="s">
        <v>147</v>
      </c>
      <c r="B147" s="31" t="s">
        <v>220</v>
      </c>
      <c r="C147" s="31" t="s">
        <v>244</v>
      </c>
      <c r="D147" s="59">
        <v>1</v>
      </c>
      <c r="E147" s="60" t="s">
        <v>280</v>
      </c>
      <c r="F147" s="32">
        <f t="shared" si="162"/>
        <v>7</v>
      </c>
      <c r="G147" s="33" t="s">
        <v>285</v>
      </c>
      <c r="H147" s="87">
        <v>10</v>
      </c>
      <c r="I147" s="33" t="s">
        <v>285</v>
      </c>
      <c r="J147" s="32">
        <f t="shared" si="163"/>
        <v>9.8000000000000007</v>
      </c>
      <c r="K147" s="33" t="s">
        <v>285</v>
      </c>
      <c r="L147" s="32">
        <v>30</v>
      </c>
      <c r="M147" s="33" t="s">
        <v>285</v>
      </c>
      <c r="N147" s="32">
        <v>7</v>
      </c>
      <c r="O147" s="33" t="s">
        <v>285</v>
      </c>
      <c r="P147" s="32">
        <v>10</v>
      </c>
      <c r="Q147" s="33" t="s">
        <v>285</v>
      </c>
      <c r="R147" s="32">
        <v>18</v>
      </c>
      <c r="S147" s="33" t="s">
        <v>285</v>
      </c>
      <c r="T147" s="32">
        <v>5.2</v>
      </c>
      <c r="U147" s="33" t="s">
        <v>285</v>
      </c>
      <c r="V147" s="32"/>
      <c r="W147" s="37" t="s">
        <v>285</v>
      </c>
    </row>
    <row r="148" spans="1:23" ht="14.4" customHeight="1" x14ac:dyDescent="0.25">
      <c r="A148" s="31" t="s">
        <v>148</v>
      </c>
      <c r="B148" s="31" t="s">
        <v>220</v>
      </c>
      <c r="C148" s="31" t="s">
        <v>245</v>
      </c>
      <c r="D148" s="59">
        <v>1</v>
      </c>
      <c r="E148" s="60" t="s">
        <v>280</v>
      </c>
      <c r="F148" s="32">
        <f t="shared" si="162"/>
        <v>8</v>
      </c>
      <c r="G148" s="33" t="s">
        <v>285</v>
      </c>
      <c r="H148" s="87">
        <v>9</v>
      </c>
      <c r="I148" s="33" t="s">
        <v>285</v>
      </c>
      <c r="J148" s="32">
        <f t="shared" si="163"/>
        <v>8.82</v>
      </c>
      <c r="K148" s="33" t="s">
        <v>285</v>
      </c>
      <c r="L148" s="32">
        <v>20</v>
      </c>
      <c r="M148" s="33" t="s">
        <v>285</v>
      </c>
      <c r="N148" s="32">
        <v>8</v>
      </c>
      <c r="O148" s="33" t="s">
        <v>285</v>
      </c>
      <c r="P148" s="32">
        <v>3.5</v>
      </c>
      <c r="Q148" s="33" t="s">
        <v>285</v>
      </c>
      <c r="R148" s="32">
        <v>15</v>
      </c>
      <c r="S148" s="33" t="s">
        <v>285</v>
      </c>
      <c r="T148" s="32">
        <v>3.7</v>
      </c>
      <c r="U148" s="33" t="s">
        <v>285</v>
      </c>
      <c r="V148" s="32"/>
      <c r="W148" s="37" t="s">
        <v>285</v>
      </c>
    </row>
    <row r="149" spans="1:23" ht="14.4" customHeight="1" x14ac:dyDescent="0.25">
      <c r="A149" s="31" t="s">
        <v>149</v>
      </c>
      <c r="B149" s="31" t="s">
        <v>220</v>
      </c>
      <c r="C149" s="31" t="s">
        <v>246</v>
      </c>
      <c r="D149" s="59">
        <v>1</v>
      </c>
      <c r="E149" s="60" t="s">
        <v>280</v>
      </c>
      <c r="F149" s="32">
        <f t="shared" si="162"/>
        <v>8</v>
      </c>
      <c r="G149" s="33" t="s">
        <v>285</v>
      </c>
      <c r="H149" s="87">
        <v>12</v>
      </c>
      <c r="I149" s="33" t="s">
        <v>285</v>
      </c>
      <c r="J149" s="32">
        <f t="shared" si="163"/>
        <v>11.76</v>
      </c>
      <c r="K149" s="33" t="s">
        <v>285</v>
      </c>
      <c r="L149" s="32">
        <v>30</v>
      </c>
      <c r="M149" s="33" t="s">
        <v>285</v>
      </c>
      <c r="N149" s="32">
        <v>8</v>
      </c>
      <c r="O149" s="33" t="s">
        <v>285</v>
      </c>
      <c r="P149" s="32">
        <v>10</v>
      </c>
      <c r="Q149" s="33" t="s">
        <v>285</v>
      </c>
      <c r="R149" s="32">
        <v>18</v>
      </c>
      <c r="S149" s="33" t="s">
        <v>285</v>
      </c>
      <c r="T149" s="32">
        <v>5.2</v>
      </c>
      <c r="U149" s="33" t="s">
        <v>285</v>
      </c>
      <c r="V149" s="32"/>
      <c r="W149" s="37" t="s">
        <v>285</v>
      </c>
    </row>
    <row r="150" spans="1:23" ht="14.4" customHeight="1" x14ac:dyDescent="0.25">
      <c r="A150" s="31" t="s">
        <v>150</v>
      </c>
      <c r="B150" s="31" t="s">
        <v>220</v>
      </c>
      <c r="C150" s="89" t="s">
        <v>301</v>
      </c>
      <c r="D150" s="59">
        <v>5</v>
      </c>
      <c r="E150" s="60" t="s">
        <v>280</v>
      </c>
      <c r="F150" s="32">
        <f t="shared" si="162"/>
        <v>9</v>
      </c>
      <c r="G150" s="33" t="s">
        <v>285</v>
      </c>
      <c r="H150" s="87">
        <v>30</v>
      </c>
      <c r="I150" s="33" t="s">
        <v>285</v>
      </c>
      <c r="J150" s="32">
        <f t="shared" si="163"/>
        <v>29.4</v>
      </c>
      <c r="K150" s="33" t="s">
        <v>285</v>
      </c>
      <c r="L150" s="32">
        <v>65</v>
      </c>
      <c r="M150" s="33" t="s">
        <v>285</v>
      </c>
      <c r="N150" s="32">
        <v>9</v>
      </c>
      <c r="O150" s="33" t="s">
        <v>285</v>
      </c>
      <c r="P150" s="32">
        <v>20</v>
      </c>
      <c r="Q150" s="33" t="s">
        <v>285</v>
      </c>
      <c r="R150" s="32">
        <v>90</v>
      </c>
      <c r="S150" s="33" t="s">
        <v>285</v>
      </c>
      <c r="T150" s="32">
        <v>68.5</v>
      </c>
      <c r="U150" s="33" t="s">
        <v>285</v>
      </c>
      <c r="V150" s="32"/>
      <c r="W150" s="37" t="s">
        <v>285</v>
      </c>
    </row>
    <row r="151" spans="1:23" ht="14.4" customHeight="1" x14ac:dyDescent="0.25">
      <c r="A151" s="38" t="s">
        <v>126</v>
      </c>
      <c r="B151" s="38"/>
      <c r="C151" s="38" t="s">
        <v>222</v>
      </c>
      <c r="D151" s="63"/>
      <c r="E151" s="64"/>
      <c r="F151" s="39"/>
      <c r="G151" s="40">
        <f>SUM(G127:G150)</f>
        <v>16872</v>
      </c>
      <c r="H151" s="39"/>
      <c r="I151" s="40">
        <f>SUM(I127:I150)</f>
        <v>14709</v>
      </c>
      <c r="J151" s="39"/>
      <c r="K151" s="40">
        <f>SUM(K127:K150)</f>
        <v>14414.820000000002</v>
      </c>
      <c r="L151" s="39"/>
      <c r="M151" s="40">
        <f>SUM(M127:M150)</f>
        <v>14579</v>
      </c>
      <c r="N151" s="39"/>
      <c r="O151" s="40">
        <f>SUM(O127:O150)</f>
        <v>16872</v>
      </c>
      <c r="P151" s="39"/>
      <c r="Q151" s="40">
        <f>SUM(Q127:Q150)</f>
        <v>18188.05</v>
      </c>
      <c r="R151" s="39"/>
      <c r="S151" s="40">
        <f>SUM(S127:S150)</f>
        <v>20251.5</v>
      </c>
      <c r="T151" s="39"/>
      <c r="U151" s="40">
        <f>SUM(U127:U150)</f>
        <v>19273.999999999996</v>
      </c>
      <c r="V151" s="39"/>
      <c r="W151" s="40">
        <f>SUM(W127:W150)</f>
        <v>0</v>
      </c>
    </row>
    <row r="152" spans="1:23" ht="14.4" customHeight="1" x14ac:dyDescent="0.25">
      <c r="A152" s="31"/>
      <c r="B152" s="31"/>
      <c r="C152" s="31"/>
      <c r="D152" s="59"/>
      <c r="E152" s="60"/>
      <c r="F152" s="32"/>
      <c r="G152" s="33"/>
      <c r="H152" s="32"/>
      <c r="I152" s="33"/>
      <c r="J152" s="32"/>
      <c r="K152" s="33"/>
      <c r="L152" s="32"/>
      <c r="M152" s="33"/>
      <c r="N152" s="32"/>
      <c r="O152" s="33"/>
      <c r="P152" s="32"/>
      <c r="Q152" s="33"/>
      <c r="R152" s="32"/>
      <c r="S152" s="33"/>
      <c r="T152" s="32"/>
      <c r="U152" s="33"/>
      <c r="V152" s="32"/>
      <c r="W152" s="33"/>
    </row>
    <row r="153" spans="1:23" ht="14.4" customHeight="1" x14ac:dyDescent="0.25">
      <c r="A153" s="91" t="s">
        <v>152</v>
      </c>
      <c r="B153" s="91"/>
      <c r="C153" s="91" t="s">
        <v>248</v>
      </c>
      <c r="D153" s="92">
        <v>1</v>
      </c>
      <c r="E153" s="93" t="s">
        <v>278</v>
      </c>
      <c r="F153" s="32">
        <f t="shared" ref="F153:F165" si="179">N153</f>
        <v>45</v>
      </c>
      <c r="G153" s="33">
        <f>$D153*F153</f>
        <v>45</v>
      </c>
      <c r="H153" s="87">
        <v>59</v>
      </c>
      <c r="I153" s="33">
        <f>$D153*H153</f>
        <v>59</v>
      </c>
      <c r="J153" s="32">
        <f t="shared" ref="J153:J165" si="180">$H153*$K$11</f>
        <v>57.82</v>
      </c>
      <c r="K153" s="33">
        <f>$D153*J153</f>
        <v>57.82</v>
      </c>
      <c r="L153" s="32">
        <v>62</v>
      </c>
      <c r="M153" s="33">
        <f>$D153*L153</f>
        <v>62</v>
      </c>
      <c r="N153" s="32">
        <v>45</v>
      </c>
      <c r="O153" s="33">
        <f t="shared" ref="O153" si="181">$D153*N153</f>
        <v>45</v>
      </c>
      <c r="P153" s="32">
        <v>49.9</v>
      </c>
      <c r="Q153" s="33">
        <f t="shared" ref="Q153" si="182">$D153*P153</f>
        <v>49.9</v>
      </c>
      <c r="R153" s="32">
        <v>48</v>
      </c>
      <c r="S153" s="33">
        <f t="shared" ref="S153" si="183">$D153*R153</f>
        <v>48</v>
      </c>
      <c r="T153" s="32">
        <v>100.4</v>
      </c>
      <c r="U153" s="33">
        <f t="shared" ref="U153" si="184">$D153*T153</f>
        <v>100.4</v>
      </c>
      <c r="V153" s="32"/>
      <c r="W153" s="33">
        <f t="shared" ref="W153" si="185">$D153*V153</f>
        <v>0</v>
      </c>
    </row>
    <row r="154" spans="1:23" ht="14.4" customHeight="1" x14ac:dyDescent="0.25">
      <c r="A154" s="31" t="s">
        <v>153</v>
      </c>
      <c r="B154" s="31" t="s">
        <v>220</v>
      </c>
      <c r="C154" s="31" t="s">
        <v>249</v>
      </c>
      <c r="D154" s="59">
        <v>1</v>
      </c>
      <c r="E154" s="60" t="s">
        <v>278</v>
      </c>
      <c r="F154" s="32">
        <f t="shared" si="179"/>
        <v>9.9</v>
      </c>
      <c r="G154" s="33" t="s">
        <v>285</v>
      </c>
      <c r="H154" s="87">
        <v>10</v>
      </c>
      <c r="I154" s="33" t="s">
        <v>285</v>
      </c>
      <c r="J154" s="32">
        <f t="shared" si="180"/>
        <v>9.8000000000000007</v>
      </c>
      <c r="K154" s="33" t="s">
        <v>285</v>
      </c>
      <c r="L154" s="32">
        <v>12</v>
      </c>
      <c r="M154" s="33" t="s">
        <v>285</v>
      </c>
      <c r="N154" s="32">
        <v>9.9</v>
      </c>
      <c r="O154" s="33" t="s">
        <v>285</v>
      </c>
      <c r="P154" s="32">
        <v>9</v>
      </c>
      <c r="Q154" s="33" t="s">
        <v>285</v>
      </c>
      <c r="R154" s="32">
        <v>16</v>
      </c>
      <c r="S154" s="33" t="s">
        <v>285</v>
      </c>
      <c r="T154" s="32">
        <v>15.7</v>
      </c>
      <c r="U154" s="33" t="s">
        <v>285</v>
      </c>
      <c r="V154" s="32"/>
      <c r="W154" s="37" t="s">
        <v>285</v>
      </c>
    </row>
    <row r="155" spans="1:23" ht="14.4" customHeight="1" x14ac:dyDescent="0.25">
      <c r="A155" s="31" t="s">
        <v>154</v>
      </c>
      <c r="B155" s="31" t="s">
        <v>220</v>
      </c>
      <c r="C155" s="31" t="s">
        <v>250</v>
      </c>
      <c r="D155" s="59">
        <v>1</v>
      </c>
      <c r="E155" s="60" t="s">
        <v>278</v>
      </c>
      <c r="F155" s="32">
        <f t="shared" si="179"/>
        <v>2.9</v>
      </c>
      <c r="G155" s="33" t="s">
        <v>285</v>
      </c>
      <c r="H155" s="87">
        <v>2.5</v>
      </c>
      <c r="I155" s="33" t="s">
        <v>285</v>
      </c>
      <c r="J155" s="32">
        <f t="shared" si="180"/>
        <v>2.4500000000000002</v>
      </c>
      <c r="K155" s="33" t="s">
        <v>285</v>
      </c>
      <c r="L155" s="32">
        <v>4</v>
      </c>
      <c r="M155" s="33" t="s">
        <v>285</v>
      </c>
      <c r="N155" s="32">
        <v>2.9</v>
      </c>
      <c r="O155" s="33" t="s">
        <v>285</v>
      </c>
      <c r="P155" s="32">
        <v>2.2999999999999998</v>
      </c>
      <c r="Q155" s="33" t="s">
        <v>285</v>
      </c>
      <c r="R155" s="32">
        <v>4.2</v>
      </c>
      <c r="S155" s="33" t="s">
        <v>285</v>
      </c>
      <c r="T155" s="32">
        <v>3.1</v>
      </c>
      <c r="U155" s="33" t="s">
        <v>285</v>
      </c>
      <c r="V155" s="32"/>
      <c r="W155" s="37" t="s">
        <v>285</v>
      </c>
    </row>
    <row r="156" spans="1:23" ht="14.4" customHeight="1" x14ac:dyDescent="0.25">
      <c r="A156" s="31" t="s">
        <v>155</v>
      </c>
      <c r="B156" s="31" t="s">
        <v>220</v>
      </c>
      <c r="C156" s="31" t="s">
        <v>251</v>
      </c>
      <c r="D156" s="59">
        <v>1</v>
      </c>
      <c r="E156" s="60" t="s">
        <v>278</v>
      </c>
      <c r="F156" s="32">
        <f t="shared" si="179"/>
        <v>5.8</v>
      </c>
      <c r="G156" s="33" t="s">
        <v>285</v>
      </c>
      <c r="H156" s="87">
        <v>5</v>
      </c>
      <c r="I156" s="33" t="s">
        <v>285</v>
      </c>
      <c r="J156" s="32">
        <f t="shared" si="180"/>
        <v>4.9000000000000004</v>
      </c>
      <c r="K156" s="33" t="s">
        <v>285</v>
      </c>
      <c r="L156" s="32">
        <v>8</v>
      </c>
      <c r="M156" s="33" t="s">
        <v>285</v>
      </c>
      <c r="N156" s="32">
        <v>5.8</v>
      </c>
      <c r="O156" s="33" t="s">
        <v>285</v>
      </c>
      <c r="P156" s="32">
        <v>4.5999999999999996</v>
      </c>
      <c r="Q156" s="33" t="s">
        <v>285</v>
      </c>
      <c r="R156" s="32">
        <v>8.4</v>
      </c>
      <c r="S156" s="33" t="s">
        <v>285</v>
      </c>
      <c r="T156" s="32">
        <v>6.2</v>
      </c>
      <c r="U156" s="33" t="s">
        <v>285</v>
      </c>
      <c r="V156" s="32"/>
      <c r="W156" s="37" t="s">
        <v>285</v>
      </c>
    </row>
    <row r="157" spans="1:23" ht="14.4" customHeight="1" x14ac:dyDescent="0.25">
      <c r="A157" s="31" t="s">
        <v>156</v>
      </c>
      <c r="B157" s="31" t="s">
        <v>220</v>
      </c>
      <c r="C157" s="31" t="s">
        <v>252</v>
      </c>
      <c r="D157" s="59">
        <v>1</v>
      </c>
      <c r="E157" s="60" t="s">
        <v>278</v>
      </c>
      <c r="F157" s="32">
        <f t="shared" si="179"/>
        <v>3.9</v>
      </c>
      <c r="G157" s="33" t="s">
        <v>285</v>
      </c>
      <c r="H157" s="32">
        <v>6.95</v>
      </c>
      <c r="I157" s="33" t="s">
        <v>285</v>
      </c>
      <c r="J157" s="32">
        <f t="shared" si="180"/>
        <v>6.8109999999999999</v>
      </c>
      <c r="K157" s="33" t="s">
        <v>285</v>
      </c>
      <c r="L157" s="32">
        <v>6.95</v>
      </c>
      <c r="M157" s="33" t="s">
        <v>285</v>
      </c>
      <c r="N157" s="32">
        <v>3.9</v>
      </c>
      <c r="O157" s="33" t="s">
        <v>285</v>
      </c>
      <c r="P157" s="32">
        <v>5</v>
      </c>
      <c r="Q157" s="33" t="s">
        <v>285</v>
      </c>
      <c r="R157" s="32">
        <v>8.8000000000000007</v>
      </c>
      <c r="S157" s="33" t="s">
        <v>285</v>
      </c>
      <c r="T157" s="32">
        <v>7.4</v>
      </c>
      <c r="U157" s="33" t="s">
        <v>285</v>
      </c>
      <c r="V157" s="32"/>
      <c r="W157" s="37" t="s">
        <v>285</v>
      </c>
    </row>
    <row r="158" spans="1:23" ht="14.4" customHeight="1" x14ac:dyDescent="0.25">
      <c r="A158" s="31" t="s">
        <v>157</v>
      </c>
      <c r="B158" s="31"/>
      <c r="C158" s="31" t="s">
        <v>253</v>
      </c>
      <c r="D158" s="59">
        <v>20</v>
      </c>
      <c r="E158" s="60" t="s">
        <v>279</v>
      </c>
      <c r="F158" s="32">
        <f t="shared" si="179"/>
        <v>6.9</v>
      </c>
      <c r="G158" s="33">
        <f t="shared" ref="G158:G163" si="186">$D158*F158</f>
        <v>138</v>
      </c>
      <c r="H158" s="87">
        <v>10</v>
      </c>
      <c r="I158" s="33">
        <f t="shared" ref="I158:I163" si="187">$D158*H158</f>
        <v>200</v>
      </c>
      <c r="J158" s="32">
        <f t="shared" si="180"/>
        <v>9.8000000000000007</v>
      </c>
      <c r="K158" s="33">
        <f t="shared" ref="K158:K163" si="188">$D158*J158</f>
        <v>196</v>
      </c>
      <c r="L158" s="32">
        <v>15</v>
      </c>
      <c r="M158" s="33">
        <f t="shared" ref="M158:M163" si="189">$D158*L158</f>
        <v>300</v>
      </c>
      <c r="N158" s="32">
        <v>6.9</v>
      </c>
      <c r="O158" s="33">
        <f t="shared" ref="O158:O163" si="190">$D158*N158</f>
        <v>138</v>
      </c>
      <c r="P158" s="32">
        <v>10.5</v>
      </c>
      <c r="Q158" s="33">
        <f t="shared" ref="Q158" si="191">$D158*P158</f>
        <v>210</v>
      </c>
      <c r="R158" s="32">
        <v>6.9</v>
      </c>
      <c r="S158" s="33">
        <f t="shared" ref="S158:S163" si="192">$D158*R158</f>
        <v>138</v>
      </c>
      <c r="T158" s="32">
        <v>11.8</v>
      </c>
      <c r="U158" s="33">
        <f t="shared" ref="U158" si="193">$D158*T158</f>
        <v>236</v>
      </c>
      <c r="V158" s="32"/>
      <c r="W158" s="33">
        <f t="shared" ref="W158" si="194">$D158*V158</f>
        <v>0</v>
      </c>
    </row>
    <row r="159" spans="1:23" ht="14.4" customHeight="1" x14ac:dyDescent="0.25">
      <c r="A159" s="31" t="s">
        <v>158</v>
      </c>
      <c r="B159" s="31"/>
      <c r="C159" s="31" t="s">
        <v>254</v>
      </c>
      <c r="D159" s="59">
        <v>20</v>
      </c>
      <c r="E159" s="60" t="s">
        <v>279</v>
      </c>
      <c r="F159" s="32">
        <f t="shared" si="179"/>
        <v>4.5</v>
      </c>
      <c r="G159" s="33">
        <f t="shared" si="186"/>
        <v>90</v>
      </c>
      <c r="H159" s="87">
        <v>5</v>
      </c>
      <c r="I159" s="33">
        <f t="shared" si="187"/>
        <v>100</v>
      </c>
      <c r="J159" s="32">
        <f t="shared" si="180"/>
        <v>4.9000000000000004</v>
      </c>
      <c r="K159" s="33">
        <f t="shared" si="188"/>
        <v>98</v>
      </c>
      <c r="L159" s="32">
        <v>6.5</v>
      </c>
      <c r="M159" s="33">
        <f t="shared" si="189"/>
        <v>130</v>
      </c>
      <c r="N159" s="32">
        <v>4.5</v>
      </c>
      <c r="O159" s="33">
        <f t="shared" si="190"/>
        <v>90</v>
      </c>
      <c r="P159" s="32">
        <v>4</v>
      </c>
      <c r="Q159" s="33">
        <f t="shared" ref="Q159" si="195">$D159*P159</f>
        <v>80</v>
      </c>
      <c r="R159" s="32">
        <v>6.5</v>
      </c>
      <c r="S159" s="33">
        <f t="shared" si="192"/>
        <v>130</v>
      </c>
      <c r="T159" s="32">
        <v>8.1</v>
      </c>
      <c r="U159" s="33">
        <f t="shared" ref="U159" si="196">$D159*T159</f>
        <v>162</v>
      </c>
      <c r="V159" s="32"/>
      <c r="W159" s="33">
        <f t="shared" ref="W159" si="197">$D159*V159</f>
        <v>0</v>
      </c>
    </row>
    <row r="160" spans="1:23" ht="14.4" customHeight="1" x14ac:dyDescent="0.25">
      <c r="A160" s="31" t="s">
        <v>159</v>
      </c>
      <c r="B160" s="31"/>
      <c r="C160" s="31" t="s">
        <v>255</v>
      </c>
      <c r="D160" s="59">
        <v>10</v>
      </c>
      <c r="E160" s="60" t="s">
        <v>280</v>
      </c>
      <c r="F160" s="32">
        <f t="shared" si="179"/>
        <v>9.5</v>
      </c>
      <c r="G160" s="33">
        <f t="shared" si="186"/>
        <v>95</v>
      </c>
      <c r="H160" s="32">
        <v>10</v>
      </c>
      <c r="I160" s="33">
        <f t="shared" si="187"/>
        <v>100</v>
      </c>
      <c r="J160" s="32">
        <f t="shared" si="180"/>
        <v>9.8000000000000007</v>
      </c>
      <c r="K160" s="33">
        <f t="shared" si="188"/>
        <v>98</v>
      </c>
      <c r="L160" s="32">
        <v>10</v>
      </c>
      <c r="M160" s="33">
        <f t="shared" si="189"/>
        <v>100</v>
      </c>
      <c r="N160" s="32">
        <v>9.5</v>
      </c>
      <c r="O160" s="33">
        <f t="shared" si="190"/>
        <v>95</v>
      </c>
      <c r="P160" s="32">
        <v>25</v>
      </c>
      <c r="Q160" s="33">
        <f t="shared" ref="Q160" si="198">$D160*P160</f>
        <v>250</v>
      </c>
      <c r="R160" s="32">
        <v>25</v>
      </c>
      <c r="S160" s="33">
        <f t="shared" si="192"/>
        <v>250</v>
      </c>
      <c r="T160" s="32">
        <v>13.7</v>
      </c>
      <c r="U160" s="33">
        <f t="shared" ref="U160" si="199">$D160*T160</f>
        <v>137</v>
      </c>
      <c r="V160" s="32"/>
      <c r="W160" s="33">
        <f t="shared" ref="W160" si="200">$D160*V160</f>
        <v>0</v>
      </c>
    </row>
    <row r="161" spans="1:23" ht="14.4" customHeight="1" x14ac:dyDescent="0.25">
      <c r="A161" s="31" t="s">
        <v>160</v>
      </c>
      <c r="B161" s="31"/>
      <c r="C161" s="31" t="s">
        <v>256</v>
      </c>
      <c r="D161" s="59">
        <v>10</v>
      </c>
      <c r="E161" s="60" t="s">
        <v>280</v>
      </c>
      <c r="F161" s="32">
        <f t="shared" si="179"/>
        <v>8</v>
      </c>
      <c r="G161" s="33">
        <f t="shared" si="186"/>
        <v>80</v>
      </c>
      <c r="H161" s="32">
        <v>20</v>
      </c>
      <c r="I161" s="33">
        <f t="shared" si="187"/>
        <v>200</v>
      </c>
      <c r="J161" s="32">
        <f t="shared" si="180"/>
        <v>19.600000000000001</v>
      </c>
      <c r="K161" s="33">
        <f t="shared" si="188"/>
        <v>196</v>
      </c>
      <c r="L161" s="32">
        <v>20</v>
      </c>
      <c r="M161" s="33">
        <f t="shared" si="189"/>
        <v>200</v>
      </c>
      <c r="N161" s="32">
        <v>8</v>
      </c>
      <c r="O161" s="33">
        <f t="shared" si="190"/>
        <v>80</v>
      </c>
      <c r="P161" s="32">
        <v>25</v>
      </c>
      <c r="Q161" s="33">
        <f t="shared" ref="Q161" si="201">$D161*P161</f>
        <v>250</v>
      </c>
      <c r="R161" s="32">
        <v>15</v>
      </c>
      <c r="S161" s="33">
        <f t="shared" si="192"/>
        <v>150</v>
      </c>
      <c r="T161" s="32">
        <v>13.7</v>
      </c>
      <c r="U161" s="33">
        <f t="shared" ref="U161" si="202">$D161*T161</f>
        <v>137</v>
      </c>
      <c r="V161" s="32"/>
      <c r="W161" s="33">
        <f t="shared" ref="W161" si="203">$D161*V161</f>
        <v>0</v>
      </c>
    </row>
    <row r="162" spans="1:23" ht="14.4" customHeight="1" x14ac:dyDescent="0.25">
      <c r="A162" s="31" t="s">
        <v>161</v>
      </c>
      <c r="B162" s="31"/>
      <c r="C162" s="31" t="s">
        <v>257</v>
      </c>
      <c r="D162" s="59">
        <v>5</v>
      </c>
      <c r="E162" s="60" t="s">
        <v>280</v>
      </c>
      <c r="F162" s="32">
        <f t="shared" si="179"/>
        <v>64</v>
      </c>
      <c r="G162" s="33">
        <f t="shared" si="186"/>
        <v>320</v>
      </c>
      <c r="H162" s="32">
        <v>65</v>
      </c>
      <c r="I162" s="33">
        <f t="shared" si="187"/>
        <v>325</v>
      </c>
      <c r="J162" s="32">
        <f t="shared" si="180"/>
        <v>63.699999999999996</v>
      </c>
      <c r="K162" s="33">
        <f t="shared" si="188"/>
        <v>318.5</v>
      </c>
      <c r="L162" s="32">
        <v>65</v>
      </c>
      <c r="M162" s="33">
        <f t="shared" si="189"/>
        <v>325</v>
      </c>
      <c r="N162" s="32">
        <v>64</v>
      </c>
      <c r="O162" s="33">
        <f t="shared" si="190"/>
        <v>320</v>
      </c>
      <c r="P162" s="32">
        <v>88</v>
      </c>
      <c r="Q162" s="33">
        <f t="shared" ref="Q162" si="204">$D162*P162</f>
        <v>440</v>
      </c>
      <c r="R162" s="32">
        <v>55</v>
      </c>
      <c r="S162" s="33">
        <f t="shared" si="192"/>
        <v>275</v>
      </c>
      <c r="T162" s="32">
        <v>69.099999999999994</v>
      </c>
      <c r="U162" s="33">
        <f t="shared" ref="U162" si="205">$D162*T162</f>
        <v>345.5</v>
      </c>
      <c r="V162" s="32"/>
      <c r="W162" s="33">
        <f t="shared" ref="W162" si="206">$D162*V162</f>
        <v>0</v>
      </c>
    </row>
    <row r="163" spans="1:23" ht="14.4" customHeight="1" x14ac:dyDescent="0.25">
      <c r="A163" s="31" t="s">
        <v>162</v>
      </c>
      <c r="B163" s="31"/>
      <c r="C163" s="31" t="s">
        <v>258</v>
      </c>
      <c r="D163" s="59">
        <v>5</v>
      </c>
      <c r="E163" s="60" t="s">
        <v>280</v>
      </c>
      <c r="F163" s="32">
        <f t="shared" si="179"/>
        <v>77</v>
      </c>
      <c r="G163" s="33">
        <f t="shared" si="186"/>
        <v>385</v>
      </c>
      <c r="H163" s="32">
        <v>80</v>
      </c>
      <c r="I163" s="33">
        <f t="shared" si="187"/>
        <v>400</v>
      </c>
      <c r="J163" s="32">
        <f t="shared" si="180"/>
        <v>78.400000000000006</v>
      </c>
      <c r="K163" s="33">
        <f t="shared" si="188"/>
        <v>392</v>
      </c>
      <c r="L163" s="32">
        <v>80</v>
      </c>
      <c r="M163" s="33">
        <f t="shared" si="189"/>
        <v>400</v>
      </c>
      <c r="N163" s="32">
        <v>77</v>
      </c>
      <c r="O163" s="33">
        <f t="shared" si="190"/>
        <v>385</v>
      </c>
      <c r="P163" s="32">
        <v>125</v>
      </c>
      <c r="Q163" s="33">
        <f t="shared" ref="Q163" si="207">$D163*P163</f>
        <v>625</v>
      </c>
      <c r="R163" s="32">
        <v>65</v>
      </c>
      <c r="S163" s="33">
        <f t="shared" si="192"/>
        <v>325</v>
      </c>
      <c r="T163" s="32">
        <v>91.9</v>
      </c>
      <c r="U163" s="33">
        <f t="shared" ref="U163" si="208">$D163*T163</f>
        <v>459.5</v>
      </c>
      <c r="V163" s="32"/>
      <c r="W163" s="33">
        <f t="shared" ref="W163" si="209">$D163*V163</f>
        <v>0</v>
      </c>
    </row>
    <row r="164" spans="1:23" ht="14.4" customHeight="1" x14ac:dyDescent="0.25">
      <c r="A164" s="31" t="s">
        <v>163</v>
      </c>
      <c r="B164" s="31" t="s">
        <v>220</v>
      </c>
      <c r="C164" s="31" t="s">
        <v>259</v>
      </c>
      <c r="D164" s="59">
        <v>1</v>
      </c>
      <c r="E164" s="60" t="s">
        <v>280</v>
      </c>
      <c r="F164" s="32">
        <f t="shared" si="179"/>
        <v>190</v>
      </c>
      <c r="G164" s="33" t="s">
        <v>285</v>
      </c>
      <c r="H164" s="32">
        <v>170</v>
      </c>
      <c r="I164" s="33" t="s">
        <v>285</v>
      </c>
      <c r="J164" s="32">
        <f t="shared" si="180"/>
        <v>166.6</v>
      </c>
      <c r="K164" s="33" t="s">
        <v>285</v>
      </c>
      <c r="L164" s="32">
        <v>170</v>
      </c>
      <c r="M164" s="33" t="s">
        <v>285</v>
      </c>
      <c r="N164" s="32">
        <v>190</v>
      </c>
      <c r="O164" s="33" t="s">
        <v>285</v>
      </c>
      <c r="P164" s="32">
        <v>239.95</v>
      </c>
      <c r="Q164" s="33" t="s">
        <v>285</v>
      </c>
      <c r="R164" s="32">
        <v>280</v>
      </c>
      <c r="S164" s="33" t="s">
        <v>285</v>
      </c>
      <c r="T164" s="32">
        <v>346.9</v>
      </c>
      <c r="U164" s="33" t="s">
        <v>285</v>
      </c>
      <c r="V164" s="32"/>
      <c r="W164" s="37" t="s">
        <v>285</v>
      </c>
    </row>
    <row r="165" spans="1:23" ht="14.4" customHeight="1" x14ac:dyDescent="0.25">
      <c r="A165" s="31" t="s">
        <v>164</v>
      </c>
      <c r="B165" s="31" t="s">
        <v>220</v>
      </c>
      <c r="C165" s="31" t="s">
        <v>260</v>
      </c>
      <c r="D165" s="59">
        <v>1</v>
      </c>
      <c r="E165" s="60" t="s">
        <v>280</v>
      </c>
      <c r="F165" s="32">
        <f t="shared" si="179"/>
        <v>240</v>
      </c>
      <c r="G165" s="33" t="s">
        <v>285</v>
      </c>
      <c r="H165" s="32">
        <v>200</v>
      </c>
      <c r="I165" s="33" t="s">
        <v>285</v>
      </c>
      <c r="J165" s="32">
        <f t="shared" si="180"/>
        <v>196</v>
      </c>
      <c r="K165" s="33" t="s">
        <v>285</v>
      </c>
      <c r="L165" s="32">
        <v>200</v>
      </c>
      <c r="M165" s="33" t="s">
        <v>285</v>
      </c>
      <c r="N165" s="32">
        <v>240</v>
      </c>
      <c r="O165" s="33" t="s">
        <v>285</v>
      </c>
      <c r="P165" s="32">
        <v>281.95</v>
      </c>
      <c r="Q165" s="33" t="s">
        <v>285</v>
      </c>
      <c r="R165" s="32">
        <v>350</v>
      </c>
      <c r="S165" s="33" t="s">
        <v>285</v>
      </c>
      <c r="T165" s="32">
        <v>391.4</v>
      </c>
      <c r="U165" s="33" t="s">
        <v>285</v>
      </c>
      <c r="V165" s="32"/>
      <c r="W165" s="37" t="s">
        <v>285</v>
      </c>
    </row>
    <row r="166" spans="1:23" ht="14.4" customHeight="1" x14ac:dyDescent="0.25">
      <c r="A166" s="38" t="s">
        <v>151</v>
      </c>
      <c r="B166" s="38"/>
      <c r="C166" s="38" t="s">
        <v>247</v>
      </c>
      <c r="D166" s="63"/>
      <c r="E166" s="64"/>
      <c r="F166" s="39"/>
      <c r="G166" s="40">
        <f>SUM(G153:G165)</f>
        <v>1153</v>
      </c>
      <c r="H166" s="39"/>
      <c r="I166" s="40">
        <f>SUM(I153:I165)</f>
        <v>1384</v>
      </c>
      <c r="J166" s="39"/>
      <c r="K166" s="40">
        <f>SUM(K153:K165)</f>
        <v>1356.32</v>
      </c>
      <c r="L166" s="39"/>
      <c r="M166" s="40">
        <f>SUM(M153:M165)</f>
        <v>1517</v>
      </c>
      <c r="N166" s="39"/>
      <c r="O166" s="40">
        <f>SUM(O153:O165)</f>
        <v>1153</v>
      </c>
      <c r="P166" s="39"/>
      <c r="Q166" s="40">
        <f>SUM(Q153:Q165)</f>
        <v>1904.9</v>
      </c>
      <c r="R166" s="39"/>
      <c r="S166" s="40">
        <f>SUM(S153:S165)</f>
        <v>1316</v>
      </c>
      <c r="T166" s="39"/>
      <c r="U166" s="40">
        <f>SUM(U153:U165)</f>
        <v>1577.4</v>
      </c>
      <c r="V166" s="39"/>
      <c r="W166" s="40">
        <f>SUM(W153:W165)</f>
        <v>0</v>
      </c>
    </row>
    <row r="167" spans="1:23" ht="14.4" customHeight="1" x14ac:dyDescent="0.25">
      <c r="A167" s="31"/>
      <c r="B167" s="31"/>
      <c r="C167" s="31"/>
      <c r="D167" s="59"/>
      <c r="E167" s="60"/>
      <c r="F167" s="32"/>
      <c r="G167" s="33"/>
      <c r="H167" s="32"/>
      <c r="I167" s="33"/>
      <c r="J167" s="32"/>
      <c r="K167" s="33"/>
      <c r="L167" s="32"/>
      <c r="M167" s="33"/>
      <c r="N167" s="32"/>
      <c r="O167" s="33"/>
      <c r="P167" s="32"/>
      <c r="Q167" s="33"/>
      <c r="R167" s="32"/>
      <c r="S167" s="33"/>
      <c r="T167" s="32"/>
      <c r="U167" s="33"/>
      <c r="V167" s="32"/>
      <c r="W167" s="33"/>
    </row>
    <row r="168" spans="1:23" ht="14.4" customHeight="1" x14ac:dyDescent="0.25">
      <c r="A168" s="31" t="s">
        <v>166</v>
      </c>
      <c r="B168" s="31"/>
      <c r="C168" s="31" t="s">
        <v>262</v>
      </c>
      <c r="D168" s="59">
        <v>58</v>
      </c>
      <c r="E168" s="60" t="s">
        <v>278</v>
      </c>
      <c r="F168" s="32">
        <f t="shared" ref="F168:F172" si="210">N168</f>
        <v>62</v>
      </c>
      <c r="G168" s="33">
        <f>$D168*F168</f>
        <v>3596</v>
      </c>
      <c r="H168" s="87">
        <v>68.5</v>
      </c>
      <c r="I168" s="33">
        <f>$D168*H168</f>
        <v>3973</v>
      </c>
      <c r="J168" s="32">
        <f t="shared" ref="J168:J172" si="211">$H168*$K$11</f>
        <v>67.13</v>
      </c>
      <c r="K168" s="33">
        <f>$D168*J168</f>
        <v>3893.54</v>
      </c>
      <c r="L168" s="32">
        <v>75</v>
      </c>
      <c r="M168" s="33">
        <f>$D168*L168</f>
        <v>4350</v>
      </c>
      <c r="N168" s="32">
        <v>62</v>
      </c>
      <c r="O168" s="33">
        <f t="shared" ref="O168:O172" si="212">$D168*N168</f>
        <v>3596</v>
      </c>
      <c r="P168" s="32">
        <v>102.25</v>
      </c>
      <c r="Q168" s="33">
        <f t="shared" ref="Q168" si="213">$D168*P168</f>
        <v>5930.5</v>
      </c>
      <c r="R168" s="32">
        <v>131.5</v>
      </c>
      <c r="S168" s="33">
        <f t="shared" ref="S168:S172" si="214">$D168*R168</f>
        <v>7627</v>
      </c>
      <c r="T168" s="32">
        <v>81.400000000000006</v>
      </c>
      <c r="U168" s="33">
        <f t="shared" ref="U168" si="215">$D168*T168</f>
        <v>4721.2000000000007</v>
      </c>
      <c r="V168" s="32"/>
      <c r="W168" s="33">
        <f t="shared" ref="W168" si="216">$D168*V168</f>
        <v>0</v>
      </c>
    </row>
    <row r="169" spans="1:23" ht="14.4" customHeight="1" x14ac:dyDescent="0.25">
      <c r="A169" s="31" t="s">
        <v>167</v>
      </c>
      <c r="B169" s="31"/>
      <c r="C169" s="31" t="s">
        <v>263</v>
      </c>
      <c r="D169" s="59">
        <v>10</v>
      </c>
      <c r="E169" s="60" t="s">
        <v>279</v>
      </c>
      <c r="F169" s="32">
        <f t="shared" si="210"/>
        <v>9</v>
      </c>
      <c r="G169" s="33">
        <f>$D169*F169</f>
        <v>90</v>
      </c>
      <c r="H169" s="87">
        <v>12</v>
      </c>
      <c r="I169" s="33">
        <f>$D169*H169</f>
        <v>120</v>
      </c>
      <c r="J169" s="32">
        <f t="shared" si="211"/>
        <v>11.76</v>
      </c>
      <c r="K169" s="33">
        <f>$D169*J169</f>
        <v>117.6</v>
      </c>
      <c r="L169" s="32">
        <v>22</v>
      </c>
      <c r="M169" s="33">
        <f>$D169*L169</f>
        <v>220</v>
      </c>
      <c r="N169" s="32">
        <v>9</v>
      </c>
      <c r="O169" s="33">
        <f t="shared" si="212"/>
        <v>90</v>
      </c>
      <c r="P169" s="32">
        <v>10.9</v>
      </c>
      <c r="Q169" s="33">
        <f t="shared" ref="Q169" si="217">$D169*P169</f>
        <v>109</v>
      </c>
      <c r="R169" s="32">
        <v>26.2</v>
      </c>
      <c r="S169" s="33">
        <f t="shared" si="214"/>
        <v>262</v>
      </c>
      <c r="T169" s="32">
        <v>19.100000000000001</v>
      </c>
      <c r="U169" s="33">
        <f t="shared" ref="U169" si="218">$D169*T169</f>
        <v>191</v>
      </c>
      <c r="V169" s="32"/>
      <c r="W169" s="33">
        <f t="shared" ref="W169" si="219">$D169*V169</f>
        <v>0</v>
      </c>
    </row>
    <row r="170" spans="1:23" ht="14.4" customHeight="1" x14ac:dyDescent="0.25">
      <c r="A170" s="31" t="s">
        <v>168</v>
      </c>
      <c r="B170" s="31"/>
      <c r="C170" s="31" t="s">
        <v>264</v>
      </c>
      <c r="D170" s="59">
        <v>32</v>
      </c>
      <c r="E170" s="60" t="s">
        <v>279</v>
      </c>
      <c r="F170" s="32">
        <f t="shared" si="210"/>
        <v>67</v>
      </c>
      <c r="G170" s="33">
        <f>$D170*F170</f>
        <v>2144</v>
      </c>
      <c r="H170" s="32">
        <v>28</v>
      </c>
      <c r="I170" s="33">
        <f>$D170*H170</f>
        <v>896</v>
      </c>
      <c r="J170" s="32">
        <f t="shared" si="211"/>
        <v>27.439999999999998</v>
      </c>
      <c r="K170" s="33">
        <f>$D170*J170</f>
        <v>878.07999999999993</v>
      </c>
      <c r="L170" s="32">
        <v>28</v>
      </c>
      <c r="M170" s="33">
        <f>$D170*L170</f>
        <v>896</v>
      </c>
      <c r="N170" s="32">
        <v>67</v>
      </c>
      <c r="O170" s="33">
        <f t="shared" si="212"/>
        <v>2144</v>
      </c>
      <c r="P170" s="32">
        <v>36</v>
      </c>
      <c r="Q170" s="33">
        <f t="shared" ref="Q170" si="220">$D170*P170</f>
        <v>1152</v>
      </c>
      <c r="R170" s="32">
        <v>35</v>
      </c>
      <c r="S170" s="33">
        <f t="shared" si="214"/>
        <v>1120</v>
      </c>
      <c r="T170" s="32">
        <v>19.100000000000001</v>
      </c>
      <c r="U170" s="33">
        <f t="shared" ref="U170" si="221">$D170*T170</f>
        <v>611.20000000000005</v>
      </c>
      <c r="V170" s="32"/>
      <c r="W170" s="33">
        <f t="shared" ref="W170" si="222">$D170*V170</f>
        <v>0</v>
      </c>
    </row>
    <row r="171" spans="1:23" ht="14.4" customHeight="1" x14ac:dyDescent="0.25">
      <c r="A171" s="31" t="s">
        <v>169</v>
      </c>
      <c r="B171" s="31"/>
      <c r="C171" s="31" t="s">
        <v>265</v>
      </c>
      <c r="D171" s="59">
        <v>5</v>
      </c>
      <c r="E171" s="60" t="s">
        <v>280</v>
      </c>
      <c r="F171" s="32">
        <f t="shared" si="210"/>
        <v>9</v>
      </c>
      <c r="G171" s="33">
        <f>$D171*F171</f>
        <v>45</v>
      </c>
      <c r="H171" s="32">
        <v>15</v>
      </c>
      <c r="I171" s="33">
        <f>$D171*H171</f>
        <v>75</v>
      </c>
      <c r="J171" s="32">
        <f t="shared" si="211"/>
        <v>14.7</v>
      </c>
      <c r="K171" s="33">
        <f>$D171*J171</f>
        <v>73.5</v>
      </c>
      <c r="L171" s="32">
        <v>15</v>
      </c>
      <c r="M171" s="33">
        <f>$D171*L171</f>
        <v>75</v>
      </c>
      <c r="N171" s="32">
        <v>9</v>
      </c>
      <c r="O171" s="33">
        <f t="shared" si="212"/>
        <v>45</v>
      </c>
      <c r="P171" s="32">
        <v>25</v>
      </c>
      <c r="Q171" s="33">
        <f t="shared" ref="Q171" si="223">$D171*P171</f>
        <v>125</v>
      </c>
      <c r="R171" s="32">
        <v>26</v>
      </c>
      <c r="S171" s="33">
        <f t="shared" si="214"/>
        <v>130</v>
      </c>
      <c r="T171" s="32">
        <v>80.5</v>
      </c>
      <c r="U171" s="33">
        <f t="shared" ref="U171" si="224">$D171*T171</f>
        <v>402.5</v>
      </c>
      <c r="V171" s="32"/>
      <c r="W171" s="33">
        <f t="shared" ref="W171" si="225">$D171*V171</f>
        <v>0</v>
      </c>
    </row>
    <row r="172" spans="1:23" ht="14.4" customHeight="1" x14ac:dyDescent="0.25">
      <c r="A172" s="31" t="s">
        <v>170</v>
      </c>
      <c r="B172" s="31"/>
      <c r="C172" s="31" t="s">
        <v>266</v>
      </c>
      <c r="D172" s="59">
        <v>5</v>
      </c>
      <c r="E172" s="60" t="s">
        <v>280</v>
      </c>
      <c r="F172" s="32">
        <f t="shared" si="210"/>
        <v>12</v>
      </c>
      <c r="G172" s="33">
        <f>$D172*F172</f>
        <v>60</v>
      </c>
      <c r="H172" s="32">
        <v>30</v>
      </c>
      <c r="I172" s="33">
        <f>$D172*H172</f>
        <v>150</v>
      </c>
      <c r="J172" s="32">
        <f t="shared" si="211"/>
        <v>29.4</v>
      </c>
      <c r="K172" s="33">
        <f>$D172*J172</f>
        <v>147</v>
      </c>
      <c r="L172" s="32">
        <v>30</v>
      </c>
      <c r="M172" s="33">
        <f>$D172*L172</f>
        <v>150</v>
      </c>
      <c r="N172" s="32">
        <v>12</v>
      </c>
      <c r="O172" s="33">
        <f t="shared" si="212"/>
        <v>60</v>
      </c>
      <c r="P172" s="32">
        <v>25</v>
      </c>
      <c r="Q172" s="33">
        <f t="shared" ref="Q172" si="226">$D172*P172</f>
        <v>125</v>
      </c>
      <c r="R172" s="32">
        <v>35</v>
      </c>
      <c r="S172" s="33">
        <f t="shared" si="214"/>
        <v>175</v>
      </c>
      <c r="T172" s="32">
        <v>67.099999999999994</v>
      </c>
      <c r="U172" s="33">
        <f t="shared" ref="U172" si="227">$D172*T172</f>
        <v>335.5</v>
      </c>
      <c r="V172" s="32"/>
      <c r="W172" s="33">
        <f t="shared" ref="W172" si="228">$D172*V172</f>
        <v>0</v>
      </c>
    </row>
    <row r="173" spans="1:23" ht="14.4" customHeight="1" x14ac:dyDescent="0.25">
      <c r="A173" s="38" t="s">
        <v>165</v>
      </c>
      <c r="B173" s="38"/>
      <c r="C173" s="38" t="s">
        <v>261</v>
      </c>
      <c r="D173" s="63"/>
      <c r="E173" s="64"/>
      <c r="F173" s="39"/>
      <c r="G173" s="40">
        <f>SUM(G168:G172)</f>
        <v>5935</v>
      </c>
      <c r="H173" s="39"/>
      <c r="I173" s="40">
        <f>SUM(I168:I172)</f>
        <v>5214</v>
      </c>
      <c r="J173" s="39"/>
      <c r="K173" s="40">
        <f>SUM(K168:K172)</f>
        <v>5109.7199999999993</v>
      </c>
      <c r="L173" s="39"/>
      <c r="M173" s="40">
        <f>SUM(M168:M172)</f>
        <v>5691</v>
      </c>
      <c r="N173" s="39"/>
      <c r="O173" s="40">
        <f>SUM(O168:O172)</f>
        <v>5935</v>
      </c>
      <c r="P173" s="39"/>
      <c r="Q173" s="40">
        <f>SUM(Q168:Q172)</f>
        <v>7441.5</v>
      </c>
      <c r="R173" s="39"/>
      <c r="S173" s="40">
        <f>SUM(S168:S172)</f>
        <v>9314</v>
      </c>
      <c r="T173" s="39"/>
      <c r="U173" s="40">
        <f>SUM(U168:U172)</f>
        <v>6261.4000000000005</v>
      </c>
      <c r="V173" s="39"/>
      <c r="W173" s="40">
        <f>SUM(W168:W172)</f>
        <v>0</v>
      </c>
    </row>
    <row r="174" spans="1:23" ht="14.4" customHeight="1" x14ac:dyDescent="0.25">
      <c r="A174" s="31"/>
      <c r="B174" s="31"/>
      <c r="C174" s="31"/>
      <c r="D174" s="59"/>
      <c r="E174" s="60"/>
      <c r="F174" s="32"/>
      <c r="G174" s="33"/>
      <c r="H174" s="32"/>
      <c r="I174" s="33"/>
      <c r="J174" s="32"/>
      <c r="K174" s="33"/>
      <c r="L174" s="32"/>
      <c r="M174" s="33"/>
      <c r="N174" s="32"/>
      <c r="O174" s="33"/>
      <c r="P174" s="32"/>
      <c r="Q174" s="33"/>
      <c r="R174" s="32"/>
      <c r="S174" s="33"/>
      <c r="T174" s="32"/>
      <c r="U174" s="33"/>
      <c r="V174" s="32"/>
      <c r="W174" s="33"/>
    </row>
    <row r="175" spans="1:23" ht="14.4" customHeight="1" x14ac:dyDescent="0.25">
      <c r="A175" s="31" t="s">
        <v>172</v>
      </c>
      <c r="B175" s="31"/>
      <c r="C175" s="31" t="s">
        <v>268</v>
      </c>
      <c r="D175" s="59">
        <v>5</v>
      </c>
      <c r="E175" s="60" t="s">
        <v>279</v>
      </c>
      <c r="F175" s="32">
        <f t="shared" ref="F175:F178" si="229">N175</f>
        <v>85</v>
      </c>
      <c r="G175" s="33">
        <f>$D175*F175</f>
        <v>425</v>
      </c>
      <c r="H175" s="32">
        <v>38</v>
      </c>
      <c r="I175" s="33">
        <f>$D175*H175</f>
        <v>190</v>
      </c>
      <c r="J175" s="32">
        <f t="shared" ref="J175:J178" si="230">$H175*$K$11</f>
        <v>37.24</v>
      </c>
      <c r="K175" s="33">
        <f>$D175*J175</f>
        <v>186.20000000000002</v>
      </c>
      <c r="L175" s="32">
        <v>38</v>
      </c>
      <c r="M175" s="33">
        <f>$D175*L175</f>
        <v>190</v>
      </c>
      <c r="N175" s="32">
        <v>85</v>
      </c>
      <c r="O175" s="33">
        <f t="shared" ref="O175" si="231">$D175*N175</f>
        <v>425</v>
      </c>
      <c r="P175" s="32">
        <v>39.5</v>
      </c>
      <c r="Q175" s="33">
        <f t="shared" ref="Q175" si="232">$D175*P175</f>
        <v>197.5</v>
      </c>
      <c r="R175" s="32">
        <v>65.2</v>
      </c>
      <c r="S175" s="33">
        <f t="shared" ref="S175" si="233">$D175*R175</f>
        <v>326</v>
      </c>
      <c r="T175" s="32">
        <v>62</v>
      </c>
      <c r="U175" s="33">
        <f t="shared" ref="U175" si="234">$D175*T175</f>
        <v>310</v>
      </c>
      <c r="V175" s="32"/>
      <c r="W175" s="33">
        <f t="shared" ref="W175" si="235">$D175*V175</f>
        <v>0</v>
      </c>
    </row>
    <row r="176" spans="1:23" ht="14.4" customHeight="1" x14ac:dyDescent="0.25">
      <c r="A176" s="31" t="s">
        <v>173</v>
      </c>
      <c r="B176" s="31" t="s">
        <v>220</v>
      </c>
      <c r="C176" s="31" t="s">
        <v>269</v>
      </c>
      <c r="D176" s="59">
        <v>1</v>
      </c>
      <c r="E176" s="60" t="s">
        <v>279</v>
      </c>
      <c r="F176" s="32">
        <f t="shared" si="229"/>
        <v>95</v>
      </c>
      <c r="G176" s="33" t="s">
        <v>285</v>
      </c>
      <c r="H176" s="32">
        <v>48</v>
      </c>
      <c r="I176" s="33" t="s">
        <v>285</v>
      </c>
      <c r="J176" s="32">
        <f t="shared" si="230"/>
        <v>47.04</v>
      </c>
      <c r="K176" s="33" t="s">
        <v>285</v>
      </c>
      <c r="L176" s="32">
        <v>48</v>
      </c>
      <c r="M176" s="33" t="s">
        <v>285</v>
      </c>
      <c r="N176" s="32">
        <v>95</v>
      </c>
      <c r="O176" s="33" t="s">
        <v>285</v>
      </c>
      <c r="P176" s="32">
        <v>48.5</v>
      </c>
      <c r="Q176" s="33" t="s">
        <v>285</v>
      </c>
      <c r="R176" s="32">
        <v>95</v>
      </c>
      <c r="S176" s="33" t="s">
        <v>285</v>
      </c>
      <c r="T176" s="32">
        <v>68.7</v>
      </c>
      <c r="U176" s="33" t="s">
        <v>285</v>
      </c>
      <c r="V176" s="32"/>
      <c r="W176" s="37" t="s">
        <v>285</v>
      </c>
    </row>
    <row r="177" spans="1:23" ht="14.4" customHeight="1" x14ac:dyDescent="0.25">
      <c r="A177" s="31" t="s">
        <v>174</v>
      </c>
      <c r="B177" s="31"/>
      <c r="C177" s="31" t="s">
        <v>270</v>
      </c>
      <c r="D177" s="59">
        <v>5.6</v>
      </c>
      <c r="E177" s="60" t="s">
        <v>279</v>
      </c>
      <c r="F177" s="32">
        <f t="shared" si="229"/>
        <v>52</v>
      </c>
      <c r="G177" s="33">
        <f>$D177*F177</f>
        <v>291.2</v>
      </c>
      <c r="H177" s="32">
        <v>65</v>
      </c>
      <c r="I177" s="33">
        <f>$D177*H177</f>
        <v>364</v>
      </c>
      <c r="J177" s="32">
        <f t="shared" si="230"/>
        <v>63.699999999999996</v>
      </c>
      <c r="K177" s="33">
        <f>$D177*J177</f>
        <v>356.71999999999997</v>
      </c>
      <c r="L177" s="32">
        <v>65</v>
      </c>
      <c r="M177" s="33">
        <f>$D177*L177</f>
        <v>364</v>
      </c>
      <c r="N177" s="32">
        <v>52</v>
      </c>
      <c r="O177" s="33">
        <f t="shared" ref="O177:O178" si="236">$D177*N177</f>
        <v>291.2</v>
      </c>
      <c r="P177" s="32">
        <v>4</v>
      </c>
      <c r="Q177" s="33">
        <f t="shared" ref="Q177" si="237">$D177*P177</f>
        <v>22.4</v>
      </c>
      <c r="R177" s="32">
        <v>84.4</v>
      </c>
      <c r="S177" s="33">
        <f t="shared" ref="S177:S178" si="238">$D177*R177</f>
        <v>472.64</v>
      </c>
      <c r="T177" s="32">
        <v>171.8</v>
      </c>
      <c r="U177" s="33">
        <f t="shared" ref="U177" si="239">$D177*T177</f>
        <v>962.08</v>
      </c>
      <c r="V177" s="32"/>
      <c r="W177" s="33">
        <f t="shared" ref="W177" si="240">$D177*V177</f>
        <v>0</v>
      </c>
    </row>
    <row r="178" spans="1:23" ht="14.4" customHeight="1" x14ac:dyDescent="0.25">
      <c r="A178" s="31" t="s">
        <v>175</v>
      </c>
      <c r="B178" s="31"/>
      <c r="C178" s="31" t="s">
        <v>271</v>
      </c>
      <c r="D178" s="59">
        <v>7.7</v>
      </c>
      <c r="E178" s="60" t="s">
        <v>279</v>
      </c>
      <c r="F178" s="32">
        <f t="shared" si="229"/>
        <v>4.5</v>
      </c>
      <c r="G178" s="33">
        <f>$D178*F178</f>
        <v>34.65</v>
      </c>
      <c r="H178" s="32">
        <v>6.5</v>
      </c>
      <c r="I178" s="33">
        <f>$D178*H178</f>
        <v>50.050000000000004</v>
      </c>
      <c r="J178" s="32">
        <f t="shared" si="230"/>
        <v>6.37</v>
      </c>
      <c r="K178" s="33">
        <f>$D178*J178</f>
        <v>49.048999999999999</v>
      </c>
      <c r="L178" s="32">
        <v>6.5</v>
      </c>
      <c r="M178" s="33">
        <f>$D178*L178</f>
        <v>50.050000000000004</v>
      </c>
      <c r="N178" s="32">
        <v>4.5</v>
      </c>
      <c r="O178" s="33">
        <f t="shared" si="236"/>
        <v>34.65</v>
      </c>
      <c r="P178" s="32">
        <v>4</v>
      </c>
      <c r="Q178" s="33">
        <f t="shared" ref="Q178" si="241">$D178*P178</f>
        <v>30.8</v>
      </c>
      <c r="R178" s="32">
        <v>6.9</v>
      </c>
      <c r="S178" s="33">
        <f t="shared" si="238"/>
        <v>53.13</v>
      </c>
      <c r="T178" s="32">
        <v>10.7</v>
      </c>
      <c r="U178" s="33">
        <f t="shared" ref="U178" si="242">$D178*T178</f>
        <v>82.39</v>
      </c>
      <c r="V178" s="32"/>
      <c r="W178" s="33">
        <f t="shared" ref="W178" si="243">$D178*V178</f>
        <v>0</v>
      </c>
    </row>
    <row r="179" spans="1:23" ht="14.4" customHeight="1" x14ac:dyDescent="0.25">
      <c r="A179" s="38" t="s">
        <v>171</v>
      </c>
      <c r="B179" s="38"/>
      <c r="C179" s="38" t="s">
        <v>267</v>
      </c>
      <c r="D179" s="63"/>
      <c r="E179" s="64"/>
      <c r="F179" s="39"/>
      <c r="G179" s="40">
        <f>SUM(G175:G178)</f>
        <v>750.85</v>
      </c>
      <c r="H179" s="39"/>
      <c r="I179" s="40">
        <f>SUM(I175:I178)</f>
        <v>604.04999999999995</v>
      </c>
      <c r="J179" s="39"/>
      <c r="K179" s="40">
        <f>SUM(K175:K178)</f>
        <v>591.96899999999994</v>
      </c>
      <c r="L179" s="39"/>
      <c r="M179" s="40">
        <f>SUM(M175:M178)</f>
        <v>604.04999999999995</v>
      </c>
      <c r="N179" s="39"/>
      <c r="O179" s="40">
        <f>SUM(O175:O178)</f>
        <v>750.85</v>
      </c>
      <c r="P179" s="39"/>
      <c r="Q179" s="40">
        <f>SUM(Q175:Q178)</f>
        <v>250.70000000000002</v>
      </c>
      <c r="R179" s="39"/>
      <c r="S179" s="40">
        <f>SUM(S175:S178)</f>
        <v>851.77</v>
      </c>
      <c r="T179" s="39"/>
      <c r="U179" s="40">
        <f>SUM(U175:U178)</f>
        <v>1354.47</v>
      </c>
      <c r="V179" s="39"/>
      <c r="W179" s="40">
        <f>SUM(W175:W178)</f>
        <v>0</v>
      </c>
    </row>
    <row r="180" spans="1:23" ht="14.4" customHeight="1" x14ac:dyDescent="0.25">
      <c r="A180" s="31"/>
      <c r="B180" s="31"/>
      <c r="C180" s="31"/>
      <c r="D180" s="59"/>
      <c r="E180" s="60"/>
      <c r="F180" s="32"/>
      <c r="G180" s="33"/>
      <c r="H180" s="32"/>
      <c r="I180" s="33"/>
      <c r="J180" s="32"/>
      <c r="K180" s="33"/>
      <c r="L180" s="32"/>
      <c r="M180" s="33"/>
      <c r="N180" s="32"/>
      <c r="O180" s="33"/>
      <c r="P180" s="32"/>
      <c r="Q180" s="33"/>
      <c r="R180" s="32"/>
      <c r="S180" s="33"/>
      <c r="T180" s="32"/>
      <c r="U180" s="33"/>
      <c r="V180" s="32"/>
      <c r="W180" s="33"/>
    </row>
    <row r="181" spans="1:23" ht="14.4" customHeight="1" x14ac:dyDescent="0.25">
      <c r="A181" s="34" t="s">
        <v>176</v>
      </c>
      <c r="B181" s="34"/>
      <c r="C181" s="34" t="s">
        <v>276</v>
      </c>
      <c r="D181" s="61"/>
      <c r="E181" s="62"/>
      <c r="F181" s="35"/>
      <c r="G181" s="36"/>
      <c r="H181" s="35"/>
      <c r="I181" s="36"/>
      <c r="J181" s="35"/>
      <c r="K181" s="36"/>
      <c r="L181" s="35"/>
      <c r="M181" s="36"/>
      <c r="N181" s="35"/>
      <c r="O181" s="36"/>
      <c r="P181" s="35"/>
      <c r="Q181" s="36"/>
      <c r="R181" s="35"/>
      <c r="S181" s="36"/>
      <c r="T181" s="35"/>
      <c r="U181" s="36"/>
      <c r="V181" s="35"/>
      <c r="W181" s="36"/>
    </row>
    <row r="182" spans="1:23" ht="14.4" customHeight="1" x14ac:dyDescent="0.25">
      <c r="A182" s="31" t="s">
        <v>178</v>
      </c>
      <c r="B182" s="31"/>
      <c r="C182" s="31" t="s">
        <v>224</v>
      </c>
      <c r="D182" s="59">
        <v>200</v>
      </c>
      <c r="E182" s="60" t="s">
        <v>278</v>
      </c>
      <c r="F182" s="32">
        <f t="shared" ref="F182:F203" si="244">N182</f>
        <v>59</v>
      </c>
      <c r="G182" s="33">
        <f>$D182*F182</f>
        <v>11800</v>
      </c>
      <c r="H182" s="32">
        <v>56</v>
      </c>
      <c r="I182" s="33">
        <f>$D182*H182</f>
        <v>11200</v>
      </c>
      <c r="J182" s="32">
        <f t="shared" ref="J182:J203" si="245">$H182*$K$11</f>
        <v>54.879999999999995</v>
      </c>
      <c r="K182" s="33">
        <f>$D182*J182</f>
        <v>10976</v>
      </c>
      <c r="L182" s="32">
        <v>56</v>
      </c>
      <c r="M182" s="33">
        <f>$D182*L182</f>
        <v>11200</v>
      </c>
      <c r="N182" s="32">
        <v>59</v>
      </c>
      <c r="O182" s="33">
        <f t="shared" ref="O182:O183" si="246">$D182*N182</f>
        <v>11800</v>
      </c>
      <c r="P182" s="32">
        <v>59.95</v>
      </c>
      <c r="Q182" s="33">
        <f t="shared" ref="Q182" si="247">$D182*P182</f>
        <v>11990</v>
      </c>
      <c r="R182" s="76">
        <v>54.1</v>
      </c>
      <c r="S182" s="33">
        <f t="shared" ref="S182:S183" si="248">$D182*R182</f>
        <v>10820</v>
      </c>
      <c r="T182" s="32">
        <v>72</v>
      </c>
      <c r="U182" s="33">
        <f t="shared" ref="U182" si="249">$D182*T182</f>
        <v>14400</v>
      </c>
      <c r="V182" s="32"/>
      <c r="W182" s="33">
        <f t="shared" ref="W182" si="250">$D182*V182</f>
        <v>0</v>
      </c>
    </row>
    <row r="183" spans="1:23" ht="14.4" customHeight="1" x14ac:dyDescent="0.25">
      <c r="A183" s="31" t="s">
        <v>179</v>
      </c>
      <c r="B183" s="31"/>
      <c r="C183" s="31" t="s">
        <v>225</v>
      </c>
      <c r="D183" s="59">
        <v>15</v>
      </c>
      <c r="E183" s="60" t="s">
        <v>278</v>
      </c>
      <c r="F183" s="32">
        <f t="shared" si="244"/>
        <v>66</v>
      </c>
      <c r="G183" s="33">
        <f>$D183*F183</f>
        <v>990</v>
      </c>
      <c r="H183" s="32">
        <v>65</v>
      </c>
      <c r="I183" s="33">
        <f>$D183*H183</f>
        <v>975</v>
      </c>
      <c r="J183" s="32">
        <f t="shared" si="245"/>
        <v>63.699999999999996</v>
      </c>
      <c r="K183" s="33">
        <f>$D183*J183</f>
        <v>955.49999999999989</v>
      </c>
      <c r="L183" s="32">
        <v>65</v>
      </c>
      <c r="M183" s="33">
        <f>$D183*L183</f>
        <v>975</v>
      </c>
      <c r="N183" s="32">
        <v>66</v>
      </c>
      <c r="O183" s="33">
        <f t="shared" si="246"/>
        <v>990</v>
      </c>
      <c r="P183" s="32">
        <v>85.5</v>
      </c>
      <c r="Q183" s="33">
        <f t="shared" ref="Q183" si="251">$D183*P183</f>
        <v>1282.5</v>
      </c>
      <c r="R183" s="32">
        <v>77.5</v>
      </c>
      <c r="S183" s="33">
        <f t="shared" si="248"/>
        <v>1162.5</v>
      </c>
      <c r="T183" s="32">
        <v>89.5</v>
      </c>
      <c r="U183" s="33">
        <f t="shared" ref="U183" si="252">$D183*T183</f>
        <v>1342.5</v>
      </c>
      <c r="V183" s="32"/>
      <c r="W183" s="33">
        <f t="shared" ref="W183" si="253">$D183*V183</f>
        <v>0</v>
      </c>
    </row>
    <row r="184" spans="1:23" ht="14.4" customHeight="1" x14ac:dyDescent="0.25">
      <c r="A184" s="31" t="s">
        <v>180</v>
      </c>
      <c r="B184" s="31" t="s">
        <v>220</v>
      </c>
      <c r="C184" s="31" t="s">
        <v>228</v>
      </c>
      <c r="D184" s="59">
        <v>1</v>
      </c>
      <c r="E184" s="60" t="s">
        <v>279</v>
      </c>
      <c r="F184" s="32">
        <f t="shared" si="244"/>
        <v>29</v>
      </c>
      <c r="G184" s="33" t="s">
        <v>285</v>
      </c>
      <c r="H184" s="32">
        <v>2</v>
      </c>
      <c r="I184" s="33" t="s">
        <v>285</v>
      </c>
      <c r="J184" s="32">
        <f t="shared" si="245"/>
        <v>1.96</v>
      </c>
      <c r="K184" s="33" t="s">
        <v>285</v>
      </c>
      <c r="L184" s="32">
        <v>2</v>
      </c>
      <c r="M184" s="33" t="s">
        <v>285</v>
      </c>
      <c r="N184" s="32">
        <v>29</v>
      </c>
      <c r="O184" s="33" t="s">
        <v>285</v>
      </c>
      <c r="P184" s="32">
        <v>12.5</v>
      </c>
      <c r="Q184" s="33" t="s">
        <v>285</v>
      </c>
      <c r="R184" s="32">
        <v>46.2</v>
      </c>
      <c r="S184" s="33" t="s">
        <v>285</v>
      </c>
      <c r="T184" s="32">
        <v>118.1</v>
      </c>
      <c r="U184" s="33" t="s">
        <v>285</v>
      </c>
      <c r="V184" s="32"/>
      <c r="W184" s="37" t="s">
        <v>285</v>
      </c>
    </row>
    <row r="185" spans="1:23" ht="14.4" customHeight="1" x14ac:dyDescent="0.25">
      <c r="A185" s="31" t="s">
        <v>181</v>
      </c>
      <c r="B185" s="31" t="s">
        <v>220</v>
      </c>
      <c r="C185" s="31" t="s">
        <v>277</v>
      </c>
      <c r="D185" s="59">
        <v>1</v>
      </c>
      <c r="E185" s="60" t="s">
        <v>278</v>
      </c>
      <c r="F185" s="32">
        <f t="shared" si="244"/>
        <v>5.8</v>
      </c>
      <c r="G185" s="33" t="s">
        <v>285</v>
      </c>
      <c r="H185" s="32">
        <v>8</v>
      </c>
      <c r="I185" s="33" t="s">
        <v>285</v>
      </c>
      <c r="J185" s="32">
        <f t="shared" si="245"/>
        <v>7.84</v>
      </c>
      <c r="K185" s="33" t="s">
        <v>285</v>
      </c>
      <c r="L185" s="32">
        <v>8</v>
      </c>
      <c r="M185" s="33" t="s">
        <v>285</v>
      </c>
      <c r="N185" s="32">
        <v>5.8</v>
      </c>
      <c r="O185" s="33" t="s">
        <v>285</v>
      </c>
      <c r="P185" s="32">
        <v>4.5999999999999996</v>
      </c>
      <c r="Q185" s="33" t="s">
        <v>285</v>
      </c>
      <c r="R185" s="32">
        <v>4.2</v>
      </c>
      <c r="S185" s="33" t="s">
        <v>285</v>
      </c>
      <c r="T185" s="32">
        <v>7.2</v>
      </c>
      <c r="U185" s="33" t="s">
        <v>285</v>
      </c>
      <c r="V185" s="32"/>
      <c r="W185" s="37" t="s">
        <v>285</v>
      </c>
    </row>
    <row r="186" spans="1:23" ht="14.4" customHeight="1" x14ac:dyDescent="0.25">
      <c r="A186" s="31" t="s">
        <v>182</v>
      </c>
      <c r="B186" s="31"/>
      <c r="C186" s="31" t="s">
        <v>229</v>
      </c>
      <c r="D186" s="59">
        <v>10</v>
      </c>
      <c r="E186" s="60" t="s">
        <v>279</v>
      </c>
      <c r="F186" s="32">
        <f t="shared" si="244"/>
        <v>5.95</v>
      </c>
      <c r="G186" s="33">
        <f>$D186*F186</f>
        <v>59.5</v>
      </c>
      <c r="H186" s="32">
        <v>7.5</v>
      </c>
      <c r="I186" s="33">
        <f>$D186*H186</f>
        <v>75</v>
      </c>
      <c r="J186" s="32">
        <f t="shared" si="245"/>
        <v>7.35</v>
      </c>
      <c r="K186" s="33">
        <f>$D186*J186</f>
        <v>73.5</v>
      </c>
      <c r="L186" s="32">
        <v>7.5</v>
      </c>
      <c r="M186" s="33">
        <f>$D186*L186</f>
        <v>75</v>
      </c>
      <c r="N186" s="32">
        <v>5.95</v>
      </c>
      <c r="O186" s="33">
        <f t="shared" ref="O186" si="254">$D186*N186</f>
        <v>59.5</v>
      </c>
      <c r="P186" s="32">
        <v>28.2</v>
      </c>
      <c r="Q186" s="33">
        <f t="shared" ref="Q186" si="255">$D186*P186</f>
        <v>282</v>
      </c>
      <c r="R186" s="32">
        <v>11.5</v>
      </c>
      <c r="S186" s="33">
        <f t="shared" ref="S186" si="256">$D186*R186</f>
        <v>115</v>
      </c>
      <c r="T186" s="32">
        <v>33.700000000000003</v>
      </c>
      <c r="U186" s="33">
        <f t="shared" ref="U186" si="257">$D186*T186</f>
        <v>337</v>
      </c>
      <c r="V186" s="32"/>
      <c r="W186" s="33">
        <f t="shared" ref="W186" si="258">$D186*V186</f>
        <v>0</v>
      </c>
    </row>
    <row r="187" spans="1:23" ht="14.4" customHeight="1" x14ac:dyDescent="0.25">
      <c r="A187" s="31" t="s">
        <v>183</v>
      </c>
      <c r="B187" s="31" t="s">
        <v>220</v>
      </c>
      <c r="C187" s="31" t="s">
        <v>230</v>
      </c>
      <c r="D187" s="59">
        <v>1</v>
      </c>
      <c r="E187" s="60" t="s">
        <v>279</v>
      </c>
      <c r="F187" s="32">
        <f t="shared" si="244"/>
        <v>19.7</v>
      </c>
      <c r="G187" s="33" t="s">
        <v>285</v>
      </c>
      <c r="H187" s="87">
        <v>12</v>
      </c>
      <c r="I187" s="33" t="s">
        <v>285</v>
      </c>
      <c r="J187" s="32">
        <f t="shared" si="245"/>
        <v>11.76</v>
      </c>
      <c r="K187" s="33" t="s">
        <v>285</v>
      </c>
      <c r="L187" s="32">
        <v>22</v>
      </c>
      <c r="M187" s="33" t="s">
        <v>285</v>
      </c>
      <c r="N187" s="32">
        <v>19.7</v>
      </c>
      <c r="O187" s="33" t="s">
        <v>285</v>
      </c>
      <c r="P187" s="32">
        <v>14.5</v>
      </c>
      <c r="Q187" s="33" t="s">
        <v>285</v>
      </c>
      <c r="R187" s="32">
        <v>18.5</v>
      </c>
      <c r="S187" s="33" t="s">
        <v>285</v>
      </c>
      <c r="T187" s="32">
        <v>30.6</v>
      </c>
      <c r="U187" s="33" t="s">
        <v>285</v>
      </c>
      <c r="V187" s="32"/>
      <c r="W187" s="37" t="s">
        <v>285</v>
      </c>
    </row>
    <row r="188" spans="1:23" ht="14.4" customHeight="1" x14ac:dyDescent="0.25">
      <c r="A188" s="31" t="s">
        <v>184</v>
      </c>
      <c r="B188" s="31" t="s">
        <v>220</v>
      </c>
      <c r="C188" s="31" t="s">
        <v>231</v>
      </c>
      <c r="D188" s="59">
        <v>1</v>
      </c>
      <c r="E188" s="60" t="s">
        <v>279</v>
      </c>
      <c r="F188" s="32">
        <f t="shared" si="244"/>
        <v>4.5</v>
      </c>
      <c r="G188" s="33" t="s">
        <v>285</v>
      </c>
      <c r="H188" s="87">
        <v>5</v>
      </c>
      <c r="I188" s="33" t="s">
        <v>285</v>
      </c>
      <c r="J188" s="32">
        <f t="shared" si="245"/>
        <v>4.9000000000000004</v>
      </c>
      <c r="K188" s="33" t="s">
        <v>285</v>
      </c>
      <c r="L188" s="32">
        <v>6</v>
      </c>
      <c r="M188" s="33" t="s">
        <v>285</v>
      </c>
      <c r="N188" s="32">
        <v>4.5</v>
      </c>
      <c r="O188" s="33" t="s">
        <v>285</v>
      </c>
      <c r="P188" s="32">
        <v>4</v>
      </c>
      <c r="Q188" s="33" t="s">
        <v>285</v>
      </c>
      <c r="R188" s="75">
        <v>12</v>
      </c>
      <c r="S188" s="33" t="s">
        <v>285</v>
      </c>
      <c r="T188" s="32">
        <v>12.9</v>
      </c>
      <c r="U188" s="33" t="s">
        <v>285</v>
      </c>
      <c r="V188" s="32"/>
      <c r="W188" s="37" t="s">
        <v>285</v>
      </c>
    </row>
    <row r="189" spans="1:23" ht="14.4" customHeight="1" x14ac:dyDescent="0.25">
      <c r="A189" s="31" t="s">
        <v>185</v>
      </c>
      <c r="B189" s="31" t="s">
        <v>220</v>
      </c>
      <c r="C189" s="31" t="s">
        <v>232</v>
      </c>
      <c r="D189" s="59">
        <v>1</v>
      </c>
      <c r="E189" s="60" t="s">
        <v>279</v>
      </c>
      <c r="F189" s="32">
        <f t="shared" si="244"/>
        <v>4.5</v>
      </c>
      <c r="G189" s="33" t="s">
        <v>285</v>
      </c>
      <c r="H189" s="87">
        <v>10</v>
      </c>
      <c r="I189" s="33" t="s">
        <v>285</v>
      </c>
      <c r="J189" s="32">
        <f t="shared" si="245"/>
        <v>9.8000000000000007</v>
      </c>
      <c r="K189" s="33" t="s">
        <v>285</v>
      </c>
      <c r="L189" s="32">
        <v>15</v>
      </c>
      <c r="M189" s="33" t="s">
        <v>285</v>
      </c>
      <c r="N189" s="32">
        <v>4.5</v>
      </c>
      <c r="O189" s="33" t="s">
        <v>285</v>
      </c>
      <c r="P189" s="32">
        <v>5.2</v>
      </c>
      <c r="Q189" s="33" t="s">
        <v>285</v>
      </c>
      <c r="R189" s="32">
        <v>27.2</v>
      </c>
      <c r="S189" s="33" t="s">
        <v>285</v>
      </c>
      <c r="T189" s="32">
        <v>74.5</v>
      </c>
      <c r="U189" s="33" t="s">
        <v>285</v>
      </c>
      <c r="V189" s="32"/>
      <c r="W189" s="37" t="s">
        <v>285</v>
      </c>
    </row>
    <row r="190" spans="1:23" ht="14.4" customHeight="1" x14ac:dyDescent="0.25">
      <c r="A190" s="31" t="s">
        <v>186</v>
      </c>
      <c r="B190" s="31"/>
      <c r="C190" s="31" t="s">
        <v>233</v>
      </c>
      <c r="D190" s="59">
        <v>6</v>
      </c>
      <c r="E190" s="60" t="s">
        <v>280</v>
      </c>
      <c r="F190" s="32">
        <f t="shared" si="244"/>
        <v>275</v>
      </c>
      <c r="G190" s="33">
        <f>$D190*F190</f>
        <v>1650</v>
      </c>
      <c r="H190" s="87">
        <v>156</v>
      </c>
      <c r="I190" s="33">
        <f>$D190*H190</f>
        <v>936</v>
      </c>
      <c r="J190" s="32">
        <f t="shared" si="245"/>
        <v>152.88</v>
      </c>
      <c r="K190" s="33">
        <f>$D190*J190</f>
        <v>917.28</v>
      </c>
      <c r="L190" s="32">
        <v>73</v>
      </c>
      <c r="M190" s="33">
        <f>$D190*L190</f>
        <v>438</v>
      </c>
      <c r="N190" s="32">
        <v>275</v>
      </c>
      <c r="O190" s="33">
        <f t="shared" ref="O190" si="259">$D190*N190</f>
        <v>1650</v>
      </c>
      <c r="P190" s="32">
        <v>272.10000000000002</v>
      </c>
      <c r="Q190" s="33">
        <f t="shared" ref="Q190" si="260">$D190*P190</f>
        <v>1632.6000000000001</v>
      </c>
      <c r="R190" s="32">
        <v>4.2</v>
      </c>
      <c r="S190" s="33">
        <f t="shared" ref="S190" si="261">$D190*R190</f>
        <v>25.200000000000003</v>
      </c>
      <c r="T190" s="32">
        <v>451.7</v>
      </c>
      <c r="U190" s="33">
        <f t="shared" ref="U190" si="262">$D190*T190</f>
        <v>2710.2</v>
      </c>
      <c r="V190" s="32"/>
      <c r="W190" s="33">
        <f t="shared" ref="W190" si="263">$D190*V190</f>
        <v>0</v>
      </c>
    </row>
    <row r="191" spans="1:23" ht="14.4" customHeight="1" x14ac:dyDescent="0.25">
      <c r="A191" s="31" t="s">
        <v>187</v>
      </c>
      <c r="B191" s="31" t="s">
        <v>220</v>
      </c>
      <c r="C191" s="31" t="s">
        <v>234</v>
      </c>
      <c r="D191" s="59">
        <v>1</v>
      </c>
      <c r="E191" s="60" t="s">
        <v>280</v>
      </c>
      <c r="F191" s="32">
        <f t="shared" si="244"/>
        <v>79</v>
      </c>
      <c r="G191" s="33" t="s">
        <v>285</v>
      </c>
      <c r="H191" s="32">
        <v>62</v>
      </c>
      <c r="I191" s="33" t="s">
        <v>285</v>
      </c>
      <c r="J191" s="32">
        <f t="shared" si="245"/>
        <v>60.76</v>
      </c>
      <c r="K191" s="33" t="s">
        <v>285</v>
      </c>
      <c r="L191" s="32">
        <v>62</v>
      </c>
      <c r="M191" s="33" t="s">
        <v>285</v>
      </c>
      <c r="N191" s="32">
        <v>79</v>
      </c>
      <c r="O191" s="33" t="s">
        <v>285</v>
      </c>
      <c r="P191" s="32">
        <v>65</v>
      </c>
      <c r="Q191" s="33" t="s">
        <v>285</v>
      </c>
      <c r="R191" s="32">
        <v>102</v>
      </c>
      <c r="S191" s="33" t="s">
        <v>285</v>
      </c>
      <c r="T191" s="32">
        <v>91.7</v>
      </c>
      <c r="U191" s="33" t="s">
        <v>285</v>
      </c>
      <c r="V191" s="32"/>
      <c r="W191" s="37" t="s">
        <v>285</v>
      </c>
    </row>
    <row r="192" spans="1:23" ht="14.4" customHeight="1" x14ac:dyDescent="0.25">
      <c r="A192" s="31" t="s">
        <v>188</v>
      </c>
      <c r="B192" s="31"/>
      <c r="C192" s="31" t="s">
        <v>235</v>
      </c>
      <c r="D192" s="59">
        <v>3</v>
      </c>
      <c r="E192" s="60" t="s">
        <v>280</v>
      </c>
      <c r="F192" s="32">
        <f t="shared" si="244"/>
        <v>84</v>
      </c>
      <c r="G192" s="33">
        <f>$D192*F192</f>
        <v>252</v>
      </c>
      <c r="H192" s="32">
        <v>65</v>
      </c>
      <c r="I192" s="33">
        <f>$D192*H192</f>
        <v>195</v>
      </c>
      <c r="J192" s="32">
        <f t="shared" si="245"/>
        <v>63.699999999999996</v>
      </c>
      <c r="K192" s="33">
        <f>$D192*J192</f>
        <v>191.1</v>
      </c>
      <c r="L192" s="32">
        <v>65</v>
      </c>
      <c r="M192" s="33">
        <f>$D192*L192</f>
        <v>195</v>
      </c>
      <c r="N192" s="32">
        <v>84</v>
      </c>
      <c r="O192" s="33">
        <f t="shared" ref="O192" si="264">$D192*N192</f>
        <v>252</v>
      </c>
      <c r="P192" s="32">
        <v>65</v>
      </c>
      <c r="Q192" s="33">
        <f t="shared" ref="Q192" si="265">$D192*P192</f>
        <v>195</v>
      </c>
      <c r="R192" s="32">
        <v>125</v>
      </c>
      <c r="S192" s="33">
        <f t="shared" ref="S192" si="266">$D192*R192</f>
        <v>375</v>
      </c>
      <c r="T192" s="32">
        <v>145.6</v>
      </c>
      <c r="U192" s="33">
        <f t="shared" ref="U192" si="267">$D192*T192</f>
        <v>436.79999999999995</v>
      </c>
      <c r="V192" s="32"/>
      <c r="W192" s="33">
        <f t="shared" ref="W192" si="268">$D192*V192</f>
        <v>0</v>
      </c>
    </row>
    <row r="193" spans="1:23" ht="14.4" customHeight="1" x14ac:dyDescent="0.25">
      <c r="A193" s="31" t="s">
        <v>189</v>
      </c>
      <c r="B193" s="31" t="s">
        <v>220</v>
      </c>
      <c r="C193" s="31" t="s">
        <v>236</v>
      </c>
      <c r="D193" s="59">
        <v>1</v>
      </c>
      <c r="E193" s="60" t="s">
        <v>280</v>
      </c>
      <c r="F193" s="32">
        <f t="shared" si="244"/>
        <v>120</v>
      </c>
      <c r="G193" s="33" t="s">
        <v>285</v>
      </c>
      <c r="H193" s="32">
        <v>75</v>
      </c>
      <c r="I193" s="33" t="s">
        <v>285</v>
      </c>
      <c r="J193" s="32">
        <f t="shared" si="245"/>
        <v>73.5</v>
      </c>
      <c r="K193" s="33" t="s">
        <v>285</v>
      </c>
      <c r="L193" s="32">
        <v>75</v>
      </c>
      <c r="M193" s="33" t="s">
        <v>285</v>
      </c>
      <c r="N193" s="32">
        <v>120</v>
      </c>
      <c r="O193" s="33" t="s">
        <v>285</v>
      </c>
      <c r="P193" s="32">
        <v>90</v>
      </c>
      <c r="Q193" s="33" t="s">
        <v>285</v>
      </c>
      <c r="R193" s="32">
        <v>210</v>
      </c>
      <c r="S193" s="33" t="s">
        <v>285</v>
      </c>
      <c r="T193" s="32">
        <v>164.2</v>
      </c>
      <c r="U193" s="33" t="s">
        <v>285</v>
      </c>
      <c r="V193" s="32"/>
      <c r="W193" s="37" t="s">
        <v>285</v>
      </c>
    </row>
    <row r="194" spans="1:23" ht="14.4" customHeight="1" x14ac:dyDescent="0.25">
      <c r="A194" s="31" t="s">
        <v>190</v>
      </c>
      <c r="B194" s="31" t="s">
        <v>220</v>
      </c>
      <c r="C194" s="31" t="s">
        <v>238</v>
      </c>
      <c r="D194" s="59">
        <v>2</v>
      </c>
      <c r="E194" s="60" t="s">
        <v>279</v>
      </c>
      <c r="F194" s="32">
        <f t="shared" si="244"/>
        <v>20</v>
      </c>
      <c r="G194" s="33" t="s">
        <v>285</v>
      </c>
      <c r="H194" s="32">
        <v>20</v>
      </c>
      <c r="I194" s="33" t="s">
        <v>285</v>
      </c>
      <c r="J194" s="32">
        <f t="shared" si="245"/>
        <v>19.600000000000001</v>
      </c>
      <c r="K194" s="33" t="s">
        <v>285</v>
      </c>
      <c r="L194" s="32">
        <v>20</v>
      </c>
      <c r="M194" s="33" t="s">
        <v>285</v>
      </c>
      <c r="N194" s="32">
        <v>20</v>
      </c>
      <c r="O194" s="33" t="s">
        <v>285</v>
      </c>
      <c r="P194" s="32">
        <v>28.9</v>
      </c>
      <c r="Q194" s="33" t="s">
        <v>285</v>
      </c>
      <c r="R194" s="32">
        <v>38.5</v>
      </c>
      <c r="S194" s="33" t="s">
        <v>285</v>
      </c>
      <c r="T194" s="32">
        <v>36.6</v>
      </c>
      <c r="U194" s="33" t="s">
        <v>285</v>
      </c>
      <c r="V194" s="32"/>
      <c r="W194" s="37" t="s">
        <v>285</v>
      </c>
    </row>
    <row r="195" spans="1:23" ht="14.4" customHeight="1" x14ac:dyDescent="0.25">
      <c r="A195" s="31" t="s">
        <v>191</v>
      </c>
      <c r="B195" s="31" t="s">
        <v>220</v>
      </c>
      <c r="C195" s="31" t="s">
        <v>239</v>
      </c>
      <c r="D195" s="59">
        <v>1</v>
      </c>
      <c r="E195" s="60" t="s">
        <v>280</v>
      </c>
      <c r="F195" s="32">
        <f t="shared" si="244"/>
        <v>7</v>
      </c>
      <c r="G195" s="33" t="s">
        <v>285</v>
      </c>
      <c r="H195" s="87">
        <v>3</v>
      </c>
      <c r="I195" s="33" t="s">
        <v>285</v>
      </c>
      <c r="J195" s="32">
        <f t="shared" si="245"/>
        <v>2.94</v>
      </c>
      <c r="K195" s="33" t="s">
        <v>285</v>
      </c>
      <c r="L195" s="32">
        <v>10</v>
      </c>
      <c r="M195" s="33" t="s">
        <v>285</v>
      </c>
      <c r="N195" s="32">
        <v>7</v>
      </c>
      <c r="O195" s="33" t="s">
        <v>285</v>
      </c>
      <c r="P195" s="32">
        <v>10</v>
      </c>
      <c r="Q195" s="33" t="s">
        <v>285</v>
      </c>
      <c r="R195" s="32">
        <v>12</v>
      </c>
      <c r="S195" s="33" t="s">
        <v>285</v>
      </c>
      <c r="T195" s="32">
        <v>9</v>
      </c>
      <c r="U195" s="33" t="s">
        <v>285</v>
      </c>
      <c r="V195" s="32"/>
      <c r="W195" s="37" t="s">
        <v>285</v>
      </c>
    </row>
    <row r="196" spans="1:23" ht="14.4" customHeight="1" x14ac:dyDescent="0.25">
      <c r="A196" s="31" t="s">
        <v>192</v>
      </c>
      <c r="B196" s="31" t="s">
        <v>220</v>
      </c>
      <c r="C196" s="31" t="s">
        <v>240</v>
      </c>
      <c r="D196" s="59">
        <v>1</v>
      </c>
      <c r="E196" s="60" t="s">
        <v>280</v>
      </c>
      <c r="F196" s="32">
        <f t="shared" si="244"/>
        <v>9</v>
      </c>
      <c r="G196" s="33" t="s">
        <v>285</v>
      </c>
      <c r="H196" s="87">
        <v>5</v>
      </c>
      <c r="I196" s="33" t="s">
        <v>285</v>
      </c>
      <c r="J196" s="32">
        <f t="shared" si="245"/>
        <v>4.9000000000000004</v>
      </c>
      <c r="K196" s="33" t="s">
        <v>285</v>
      </c>
      <c r="L196" s="32">
        <v>15</v>
      </c>
      <c r="M196" s="33" t="s">
        <v>285</v>
      </c>
      <c r="N196" s="32">
        <v>9</v>
      </c>
      <c r="O196" s="33" t="s">
        <v>285</v>
      </c>
      <c r="P196" s="32">
        <v>25</v>
      </c>
      <c r="Q196" s="33" t="s">
        <v>285</v>
      </c>
      <c r="R196" s="32">
        <v>20</v>
      </c>
      <c r="S196" s="33" t="s">
        <v>285</v>
      </c>
      <c r="T196" s="32">
        <v>10.3</v>
      </c>
      <c r="U196" s="33" t="s">
        <v>285</v>
      </c>
      <c r="V196" s="32"/>
      <c r="W196" s="37" t="s">
        <v>285</v>
      </c>
    </row>
    <row r="197" spans="1:23" ht="14.4" customHeight="1" x14ac:dyDescent="0.25">
      <c r="A197" s="31" t="s">
        <v>193</v>
      </c>
      <c r="B197" s="31" t="s">
        <v>220</v>
      </c>
      <c r="C197" s="31" t="s">
        <v>241</v>
      </c>
      <c r="D197" s="59">
        <v>1</v>
      </c>
      <c r="E197" s="60" t="s">
        <v>280</v>
      </c>
      <c r="F197" s="32">
        <f t="shared" si="244"/>
        <v>15</v>
      </c>
      <c r="G197" s="33" t="s">
        <v>285</v>
      </c>
      <c r="H197" s="87">
        <v>5</v>
      </c>
      <c r="I197" s="33" t="s">
        <v>285</v>
      </c>
      <c r="J197" s="32">
        <f t="shared" si="245"/>
        <v>4.9000000000000004</v>
      </c>
      <c r="K197" s="33" t="s">
        <v>285</v>
      </c>
      <c r="L197" s="32">
        <v>10</v>
      </c>
      <c r="M197" s="33" t="s">
        <v>285</v>
      </c>
      <c r="N197" s="32">
        <v>15</v>
      </c>
      <c r="O197" s="33" t="s">
        <v>285</v>
      </c>
      <c r="P197" s="32">
        <v>10</v>
      </c>
      <c r="Q197" s="33" t="s">
        <v>285</v>
      </c>
      <c r="R197" s="32">
        <v>25</v>
      </c>
      <c r="S197" s="33" t="s">
        <v>285</v>
      </c>
      <c r="T197" s="32">
        <v>5.2</v>
      </c>
      <c r="U197" s="33" t="s">
        <v>285</v>
      </c>
      <c r="V197" s="32"/>
      <c r="W197" s="37" t="s">
        <v>285</v>
      </c>
    </row>
    <row r="198" spans="1:23" ht="14.4" customHeight="1" x14ac:dyDescent="0.25">
      <c r="A198" s="31" t="s">
        <v>194</v>
      </c>
      <c r="B198" s="31" t="s">
        <v>220</v>
      </c>
      <c r="C198" s="31" t="s">
        <v>242</v>
      </c>
      <c r="D198" s="59">
        <v>1</v>
      </c>
      <c r="E198" s="60" t="s">
        <v>280</v>
      </c>
      <c r="F198" s="32">
        <f t="shared" si="244"/>
        <v>17</v>
      </c>
      <c r="G198" s="33" t="s">
        <v>285</v>
      </c>
      <c r="H198" s="87">
        <v>7</v>
      </c>
      <c r="I198" s="33" t="s">
        <v>285</v>
      </c>
      <c r="J198" s="32">
        <f t="shared" si="245"/>
        <v>6.8599999999999994</v>
      </c>
      <c r="K198" s="33" t="s">
        <v>285</v>
      </c>
      <c r="L198" s="32">
        <v>15</v>
      </c>
      <c r="M198" s="33" t="s">
        <v>285</v>
      </c>
      <c r="N198" s="32">
        <v>17</v>
      </c>
      <c r="O198" s="33" t="s">
        <v>285</v>
      </c>
      <c r="P198" s="32">
        <v>25</v>
      </c>
      <c r="Q198" s="33" t="s">
        <v>285</v>
      </c>
      <c r="R198" s="32">
        <v>35</v>
      </c>
      <c r="S198" s="33" t="s">
        <v>285</v>
      </c>
      <c r="T198" s="32">
        <v>7.8</v>
      </c>
      <c r="U198" s="33" t="s">
        <v>285</v>
      </c>
      <c r="V198" s="32"/>
      <c r="W198" s="37" t="s">
        <v>285</v>
      </c>
    </row>
    <row r="199" spans="1:23" ht="14.4" customHeight="1" x14ac:dyDescent="0.25">
      <c r="A199" s="31" t="s">
        <v>195</v>
      </c>
      <c r="B199" s="31" t="s">
        <v>220</v>
      </c>
      <c r="C199" s="31" t="s">
        <v>243</v>
      </c>
      <c r="D199" s="59">
        <v>1</v>
      </c>
      <c r="E199" s="60" t="s">
        <v>280</v>
      </c>
      <c r="F199" s="32">
        <f t="shared" si="244"/>
        <v>6</v>
      </c>
      <c r="G199" s="33" t="s">
        <v>285</v>
      </c>
      <c r="H199" s="87">
        <v>8</v>
      </c>
      <c r="I199" s="33" t="s">
        <v>285</v>
      </c>
      <c r="J199" s="32">
        <f t="shared" si="245"/>
        <v>7.84</v>
      </c>
      <c r="K199" s="33" t="s">
        <v>285</v>
      </c>
      <c r="L199" s="32">
        <v>20</v>
      </c>
      <c r="M199" s="33" t="s">
        <v>285</v>
      </c>
      <c r="N199" s="32">
        <v>6</v>
      </c>
      <c r="O199" s="33" t="s">
        <v>285</v>
      </c>
      <c r="P199" s="32">
        <v>3.5</v>
      </c>
      <c r="Q199" s="33" t="s">
        <v>285</v>
      </c>
      <c r="R199" s="32">
        <v>8</v>
      </c>
      <c r="S199" s="33" t="s">
        <v>285</v>
      </c>
      <c r="T199" s="32">
        <v>4.2</v>
      </c>
      <c r="U199" s="33" t="s">
        <v>285</v>
      </c>
      <c r="V199" s="32"/>
      <c r="W199" s="37" t="s">
        <v>285</v>
      </c>
    </row>
    <row r="200" spans="1:23" ht="14.4" customHeight="1" x14ac:dyDescent="0.25">
      <c r="A200" s="31" t="s">
        <v>196</v>
      </c>
      <c r="B200" s="31" t="s">
        <v>220</v>
      </c>
      <c r="C200" s="31" t="s">
        <v>244</v>
      </c>
      <c r="D200" s="59">
        <v>1</v>
      </c>
      <c r="E200" s="60" t="s">
        <v>280</v>
      </c>
      <c r="F200" s="32">
        <f t="shared" si="244"/>
        <v>7</v>
      </c>
      <c r="G200" s="33" t="s">
        <v>285</v>
      </c>
      <c r="H200" s="87">
        <v>10</v>
      </c>
      <c r="I200" s="33" t="s">
        <v>285</v>
      </c>
      <c r="J200" s="32">
        <f t="shared" si="245"/>
        <v>9.8000000000000007</v>
      </c>
      <c r="K200" s="33" t="s">
        <v>285</v>
      </c>
      <c r="L200" s="32">
        <v>30</v>
      </c>
      <c r="M200" s="33" t="s">
        <v>285</v>
      </c>
      <c r="N200" s="32">
        <v>7</v>
      </c>
      <c r="O200" s="33" t="s">
        <v>285</v>
      </c>
      <c r="P200" s="32">
        <v>10</v>
      </c>
      <c r="Q200" s="33" t="s">
        <v>285</v>
      </c>
      <c r="R200" s="32">
        <v>18</v>
      </c>
      <c r="S200" s="33" t="s">
        <v>285</v>
      </c>
      <c r="T200" s="32">
        <v>6</v>
      </c>
      <c r="U200" s="33" t="s">
        <v>285</v>
      </c>
      <c r="V200" s="32"/>
      <c r="W200" s="37" t="s">
        <v>285</v>
      </c>
    </row>
    <row r="201" spans="1:23" ht="14.4" customHeight="1" x14ac:dyDescent="0.25">
      <c r="A201" s="31" t="s">
        <v>197</v>
      </c>
      <c r="B201" s="31" t="s">
        <v>220</v>
      </c>
      <c r="C201" s="31" t="s">
        <v>245</v>
      </c>
      <c r="D201" s="59">
        <v>1</v>
      </c>
      <c r="E201" s="60" t="s">
        <v>280</v>
      </c>
      <c r="F201" s="32">
        <f t="shared" si="244"/>
        <v>8</v>
      </c>
      <c r="G201" s="33" t="s">
        <v>285</v>
      </c>
      <c r="H201" s="87">
        <v>9</v>
      </c>
      <c r="I201" s="33" t="s">
        <v>285</v>
      </c>
      <c r="J201" s="32">
        <f t="shared" si="245"/>
        <v>8.82</v>
      </c>
      <c r="K201" s="33" t="s">
        <v>285</v>
      </c>
      <c r="L201" s="32">
        <v>20</v>
      </c>
      <c r="M201" s="33" t="s">
        <v>285</v>
      </c>
      <c r="N201" s="32">
        <v>8</v>
      </c>
      <c r="O201" s="33" t="s">
        <v>285</v>
      </c>
      <c r="P201" s="32">
        <v>3.5</v>
      </c>
      <c r="Q201" s="33" t="s">
        <v>285</v>
      </c>
      <c r="R201" s="32">
        <v>15</v>
      </c>
      <c r="S201" s="33" t="s">
        <v>285</v>
      </c>
      <c r="T201" s="32">
        <v>4.2</v>
      </c>
      <c r="U201" s="33" t="s">
        <v>285</v>
      </c>
      <c r="V201" s="32"/>
      <c r="W201" s="37" t="s">
        <v>285</v>
      </c>
    </row>
    <row r="202" spans="1:23" ht="14.4" customHeight="1" x14ac:dyDescent="0.25">
      <c r="A202" s="31" t="s">
        <v>198</v>
      </c>
      <c r="B202" s="31" t="s">
        <v>220</v>
      </c>
      <c r="C202" s="31" t="s">
        <v>246</v>
      </c>
      <c r="D202" s="59">
        <v>1</v>
      </c>
      <c r="E202" s="60" t="s">
        <v>280</v>
      </c>
      <c r="F202" s="32">
        <f t="shared" si="244"/>
        <v>8</v>
      </c>
      <c r="G202" s="33" t="s">
        <v>285</v>
      </c>
      <c r="H202" s="87">
        <v>12</v>
      </c>
      <c r="I202" s="33" t="s">
        <v>285</v>
      </c>
      <c r="J202" s="32">
        <f t="shared" si="245"/>
        <v>11.76</v>
      </c>
      <c r="K202" s="33" t="s">
        <v>285</v>
      </c>
      <c r="L202" s="32">
        <v>30</v>
      </c>
      <c r="M202" s="33" t="s">
        <v>285</v>
      </c>
      <c r="N202" s="32">
        <v>8</v>
      </c>
      <c r="O202" s="33" t="s">
        <v>285</v>
      </c>
      <c r="P202" s="32">
        <v>10</v>
      </c>
      <c r="Q202" s="33" t="s">
        <v>285</v>
      </c>
      <c r="R202" s="32">
        <v>18</v>
      </c>
      <c r="S202" s="33" t="s">
        <v>285</v>
      </c>
      <c r="T202" s="32">
        <v>6</v>
      </c>
      <c r="U202" s="33" t="s">
        <v>285</v>
      </c>
      <c r="V202" s="32"/>
      <c r="W202" s="37" t="s">
        <v>285</v>
      </c>
    </row>
    <row r="203" spans="1:23" ht="14.4" customHeight="1" x14ac:dyDescent="0.25">
      <c r="A203" s="31" t="s">
        <v>199</v>
      </c>
      <c r="B203" s="31"/>
      <c r="C203" s="89" t="s">
        <v>301</v>
      </c>
      <c r="D203" s="59">
        <v>5</v>
      </c>
      <c r="E203" s="60" t="s">
        <v>280</v>
      </c>
      <c r="F203" s="32">
        <f t="shared" si="244"/>
        <v>9</v>
      </c>
      <c r="G203" s="33">
        <f>$D203*F203</f>
        <v>45</v>
      </c>
      <c r="H203" s="87">
        <v>30</v>
      </c>
      <c r="I203" s="33">
        <f>$D203*H203</f>
        <v>150</v>
      </c>
      <c r="J203" s="32">
        <f t="shared" si="245"/>
        <v>29.4</v>
      </c>
      <c r="K203" s="33">
        <f>$D203*J203</f>
        <v>147</v>
      </c>
      <c r="L203" s="32">
        <v>65</v>
      </c>
      <c r="M203" s="33">
        <f>$D203*L203</f>
        <v>325</v>
      </c>
      <c r="N203" s="32">
        <v>9</v>
      </c>
      <c r="O203" s="33">
        <f t="shared" ref="O203" si="269">$D203*N203</f>
        <v>45</v>
      </c>
      <c r="P203" s="32">
        <v>20</v>
      </c>
      <c r="Q203" s="33">
        <f t="shared" ref="Q203" si="270">$D203*P203</f>
        <v>100</v>
      </c>
      <c r="R203" s="32">
        <v>90</v>
      </c>
      <c r="S203" s="33">
        <f t="shared" ref="S203" si="271">$D203*R203</f>
        <v>450</v>
      </c>
      <c r="T203" s="32">
        <v>78.8</v>
      </c>
      <c r="U203" s="33">
        <f t="shared" ref="U203" si="272">$D203*T203</f>
        <v>394</v>
      </c>
      <c r="V203" s="32"/>
      <c r="W203" s="33">
        <f t="shared" ref="W203" si="273">$D203*V203</f>
        <v>0</v>
      </c>
    </row>
    <row r="204" spans="1:23" ht="14.4" customHeight="1" x14ac:dyDescent="0.25">
      <c r="A204" s="38" t="s">
        <v>177</v>
      </c>
      <c r="B204" s="38"/>
      <c r="C204" s="38" t="s">
        <v>222</v>
      </c>
      <c r="D204" s="63"/>
      <c r="E204" s="64"/>
      <c r="F204" s="39"/>
      <c r="G204" s="40">
        <f>SUM(G182:G203)</f>
        <v>14796.5</v>
      </c>
      <c r="H204" s="39"/>
      <c r="I204" s="40">
        <f>SUM(I182:I203)</f>
        <v>13531</v>
      </c>
      <c r="J204" s="39"/>
      <c r="K204" s="40">
        <f>SUM(K182:K203)</f>
        <v>13260.380000000001</v>
      </c>
      <c r="L204" s="39"/>
      <c r="M204" s="40">
        <f>SUM(M182:M203)</f>
        <v>13208</v>
      </c>
      <c r="N204" s="39"/>
      <c r="O204" s="40">
        <f>SUM(O182:O203)</f>
        <v>14796.5</v>
      </c>
      <c r="P204" s="39"/>
      <c r="Q204" s="40">
        <f>SUM(Q182:Q203)</f>
        <v>15482.1</v>
      </c>
      <c r="R204" s="39"/>
      <c r="S204" s="40">
        <f>SUM(S182:S203)</f>
        <v>12947.7</v>
      </c>
      <c r="T204" s="39"/>
      <c r="U204" s="40">
        <f>SUM(U182:U203)</f>
        <v>19620.5</v>
      </c>
      <c r="V204" s="39"/>
      <c r="W204" s="40">
        <f>SUM(W182:W203)</f>
        <v>0</v>
      </c>
    </row>
    <row r="205" spans="1:23" ht="14.4" customHeight="1" x14ac:dyDescent="0.25">
      <c r="A205" s="31"/>
      <c r="B205" s="31"/>
      <c r="C205" s="31"/>
      <c r="D205" s="59"/>
      <c r="E205" s="60"/>
      <c r="F205" s="32"/>
      <c r="G205" s="33"/>
      <c r="H205" s="32"/>
      <c r="I205" s="33"/>
      <c r="J205" s="32"/>
      <c r="K205" s="33"/>
      <c r="L205" s="32"/>
      <c r="M205" s="33"/>
      <c r="N205" s="32"/>
      <c r="O205" s="33"/>
      <c r="P205" s="32"/>
      <c r="Q205" s="33"/>
      <c r="R205" s="32"/>
      <c r="S205" s="33"/>
      <c r="T205" s="32"/>
      <c r="U205" s="33"/>
      <c r="V205" s="32"/>
      <c r="W205" s="33"/>
    </row>
    <row r="206" spans="1:23" ht="14.4" customHeight="1" x14ac:dyDescent="0.25">
      <c r="A206" s="91" t="s">
        <v>201</v>
      </c>
      <c r="B206" s="91"/>
      <c r="C206" s="91" t="s">
        <v>248</v>
      </c>
      <c r="D206" s="92">
        <v>28</v>
      </c>
      <c r="E206" s="93" t="s">
        <v>278</v>
      </c>
      <c r="F206" s="32">
        <f t="shared" ref="F206:F218" si="274">N206</f>
        <v>40</v>
      </c>
      <c r="G206" s="33">
        <f>$D206*F206</f>
        <v>1120</v>
      </c>
      <c r="H206" s="87">
        <v>59</v>
      </c>
      <c r="I206" s="33">
        <f>$D206*H206</f>
        <v>1652</v>
      </c>
      <c r="J206" s="32">
        <f t="shared" ref="J206:J218" si="275">$H206*$K$11</f>
        <v>57.82</v>
      </c>
      <c r="K206" s="33">
        <f>$D206*J206</f>
        <v>1618.96</v>
      </c>
      <c r="L206" s="32">
        <v>62</v>
      </c>
      <c r="M206" s="33">
        <f>$D206*L206</f>
        <v>1736</v>
      </c>
      <c r="N206" s="32">
        <v>40</v>
      </c>
      <c r="O206" s="33">
        <f t="shared" ref="O206" si="276">$D206*N206</f>
        <v>1120</v>
      </c>
      <c r="P206" s="32">
        <v>49.9</v>
      </c>
      <c r="Q206" s="33">
        <f t="shared" ref="Q206" si="277">$D206*P206</f>
        <v>1397.2</v>
      </c>
      <c r="R206" s="32">
        <v>48</v>
      </c>
      <c r="S206" s="33">
        <f t="shared" ref="S206" si="278">$D206*R206</f>
        <v>1344</v>
      </c>
      <c r="T206" s="32">
        <v>46.4</v>
      </c>
      <c r="U206" s="33">
        <f t="shared" ref="U206" si="279">$D206*T206</f>
        <v>1299.2</v>
      </c>
      <c r="V206" s="32"/>
      <c r="W206" s="33">
        <f t="shared" ref="W206" si="280">$D206*V206</f>
        <v>0</v>
      </c>
    </row>
    <row r="207" spans="1:23" ht="14.4" customHeight="1" x14ac:dyDescent="0.25">
      <c r="A207" s="31" t="s">
        <v>202</v>
      </c>
      <c r="B207" s="31" t="s">
        <v>220</v>
      </c>
      <c r="C207" s="31" t="s">
        <v>249</v>
      </c>
      <c r="D207" s="59">
        <v>1</v>
      </c>
      <c r="E207" s="60" t="s">
        <v>278</v>
      </c>
      <c r="F207" s="32">
        <f t="shared" si="274"/>
        <v>9.9</v>
      </c>
      <c r="G207" s="33" t="s">
        <v>285</v>
      </c>
      <c r="H207" s="87">
        <v>10</v>
      </c>
      <c r="I207" s="33" t="s">
        <v>285</v>
      </c>
      <c r="J207" s="32">
        <f t="shared" si="275"/>
        <v>9.8000000000000007</v>
      </c>
      <c r="K207" s="33" t="s">
        <v>285</v>
      </c>
      <c r="L207" s="32">
        <v>12</v>
      </c>
      <c r="M207" s="33" t="s">
        <v>285</v>
      </c>
      <c r="N207" s="32">
        <v>9.9</v>
      </c>
      <c r="O207" s="33" t="s">
        <v>285</v>
      </c>
      <c r="P207" s="32">
        <v>9</v>
      </c>
      <c r="Q207" s="33" t="s">
        <v>285</v>
      </c>
      <c r="R207" s="32">
        <v>16</v>
      </c>
      <c r="S207" s="33" t="s">
        <v>285</v>
      </c>
      <c r="T207" s="32">
        <v>18</v>
      </c>
      <c r="U207" s="33" t="s">
        <v>285</v>
      </c>
      <c r="V207" s="32"/>
      <c r="W207" s="37" t="s">
        <v>285</v>
      </c>
    </row>
    <row r="208" spans="1:23" ht="14.4" customHeight="1" x14ac:dyDescent="0.25">
      <c r="A208" s="31" t="s">
        <v>203</v>
      </c>
      <c r="B208" s="31" t="s">
        <v>220</v>
      </c>
      <c r="C208" s="31" t="s">
        <v>250</v>
      </c>
      <c r="D208" s="59">
        <v>1</v>
      </c>
      <c r="E208" s="60" t="s">
        <v>278</v>
      </c>
      <c r="F208" s="32">
        <f t="shared" si="274"/>
        <v>2.9</v>
      </c>
      <c r="G208" s="33" t="s">
        <v>285</v>
      </c>
      <c r="H208" s="87">
        <v>2.5</v>
      </c>
      <c r="I208" s="33" t="s">
        <v>285</v>
      </c>
      <c r="J208" s="32">
        <f t="shared" si="275"/>
        <v>2.4500000000000002</v>
      </c>
      <c r="K208" s="33" t="s">
        <v>285</v>
      </c>
      <c r="L208" s="32">
        <v>4</v>
      </c>
      <c r="M208" s="33" t="s">
        <v>285</v>
      </c>
      <c r="N208" s="32">
        <v>2.9</v>
      </c>
      <c r="O208" s="33" t="s">
        <v>285</v>
      </c>
      <c r="P208" s="32">
        <v>2.2999999999999998</v>
      </c>
      <c r="Q208" s="33" t="s">
        <v>285</v>
      </c>
      <c r="R208" s="32">
        <v>4.2</v>
      </c>
      <c r="S208" s="33" t="s">
        <v>285</v>
      </c>
      <c r="T208" s="32">
        <v>3.6</v>
      </c>
      <c r="U208" s="33" t="s">
        <v>285</v>
      </c>
      <c r="V208" s="32"/>
      <c r="W208" s="37" t="s">
        <v>285</v>
      </c>
    </row>
    <row r="209" spans="1:23" ht="14.4" customHeight="1" x14ac:dyDescent="0.25">
      <c r="A209" s="31" t="s">
        <v>204</v>
      </c>
      <c r="B209" s="31" t="s">
        <v>220</v>
      </c>
      <c r="C209" s="31" t="s">
        <v>251</v>
      </c>
      <c r="D209" s="59">
        <v>1</v>
      </c>
      <c r="E209" s="60" t="s">
        <v>278</v>
      </c>
      <c r="F209" s="32">
        <f t="shared" si="274"/>
        <v>5.8</v>
      </c>
      <c r="G209" s="33" t="s">
        <v>285</v>
      </c>
      <c r="H209" s="32">
        <v>5</v>
      </c>
      <c r="I209" s="33" t="s">
        <v>285</v>
      </c>
      <c r="J209" s="32">
        <f t="shared" si="275"/>
        <v>4.9000000000000004</v>
      </c>
      <c r="K209" s="33" t="s">
        <v>285</v>
      </c>
      <c r="L209" s="32">
        <v>8</v>
      </c>
      <c r="M209" s="33" t="s">
        <v>285</v>
      </c>
      <c r="N209" s="32">
        <v>5.8</v>
      </c>
      <c r="O209" s="33" t="s">
        <v>285</v>
      </c>
      <c r="P209" s="32">
        <v>4.5999999999999996</v>
      </c>
      <c r="Q209" s="33" t="s">
        <v>285</v>
      </c>
      <c r="R209" s="32">
        <v>8.4</v>
      </c>
      <c r="S209" s="33" t="s">
        <v>285</v>
      </c>
      <c r="T209" s="32">
        <v>7.2</v>
      </c>
      <c r="U209" s="33" t="s">
        <v>285</v>
      </c>
      <c r="V209" s="32"/>
      <c r="W209" s="37" t="s">
        <v>285</v>
      </c>
    </row>
    <row r="210" spans="1:23" ht="14.4" customHeight="1" x14ac:dyDescent="0.25">
      <c r="A210" s="31" t="s">
        <v>205</v>
      </c>
      <c r="B210" s="31" t="s">
        <v>220</v>
      </c>
      <c r="C210" s="31" t="s">
        <v>252</v>
      </c>
      <c r="D210" s="59">
        <v>1</v>
      </c>
      <c r="E210" s="60" t="s">
        <v>278</v>
      </c>
      <c r="F210" s="32">
        <f t="shared" si="274"/>
        <v>3.9</v>
      </c>
      <c r="G210" s="33" t="s">
        <v>285</v>
      </c>
      <c r="H210" s="32">
        <v>6.95</v>
      </c>
      <c r="I210" s="33" t="s">
        <v>285</v>
      </c>
      <c r="J210" s="32">
        <f t="shared" si="275"/>
        <v>6.8109999999999999</v>
      </c>
      <c r="K210" s="33" t="s">
        <v>285</v>
      </c>
      <c r="L210" s="32">
        <v>6.95</v>
      </c>
      <c r="M210" s="33" t="s">
        <v>285</v>
      </c>
      <c r="N210" s="32">
        <v>3.9</v>
      </c>
      <c r="O210" s="33" t="s">
        <v>285</v>
      </c>
      <c r="P210" s="32">
        <v>5</v>
      </c>
      <c r="Q210" s="33" t="s">
        <v>285</v>
      </c>
      <c r="R210" s="32">
        <v>8.8000000000000007</v>
      </c>
      <c r="S210" s="33" t="s">
        <v>285</v>
      </c>
      <c r="T210" s="32">
        <v>8.6</v>
      </c>
      <c r="U210" s="33" t="s">
        <v>285</v>
      </c>
      <c r="V210" s="32"/>
      <c r="W210" s="37" t="s">
        <v>285</v>
      </c>
    </row>
    <row r="211" spans="1:23" ht="14.4" customHeight="1" x14ac:dyDescent="0.25">
      <c r="A211" s="31" t="s">
        <v>206</v>
      </c>
      <c r="B211" s="31"/>
      <c r="C211" s="31" t="s">
        <v>253</v>
      </c>
      <c r="D211" s="59">
        <v>5</v>
      </c>
      <c r="E211" s="60" t="s">
        <v>279</v>
      </c>
      <c r="F211" s="32">
        <f t="shared" si="274"/>
        <v>6.9</v>
      </c>
      <c r="G211" s="33">
        <f t="shared" ref="G211:G216" si="281">$D211*F211</f>
        <v>34.5</v>
      </c>
      <c r="H211" s="87">
        <v>10</v>
      </c>
      <c r="I211" s="33">
        <f t="shared" ref="I211:I216" si="282">$D211*H211</f>
        <v>50</v>
      </c>
      <c r="J211" s="32">
        <f t="shared" si="275"/>
        <v>9.8000000000000007</v>
      </c>
      <c r="K211" s="33">
        <f t="shared" ref="K211:K216" si="283">$D211*J211</f>
        <v>49</v>
      </c>
      <c r="L211" s="32">
        <v>15</v>
      </c>
      <c r="M211" s="33">
        <f t="shared" ref="M211:M216" si="284">$D211*L211</f>
        <v>75</v>
      </c>
      <c r="N211" s="32">
        <v>6.9</v>
      </c>
      <c r="O211" s="33">
        <f t="shared" ref="O211:O216" si="285">$D211*N211</f>
        <v>34.5</v>
      </c>
      <c r="P211" s="32">
        <v>10.5</v>
      </c>
      <c r="Q211" s="33">
        <f t="shared" ref="Q211" si="286">$D211*P211</f>
        <v>52.5</v>
      </c>
      <c r="R211" s="32">
        <v>6.9</v>
      </c>
      <c r="S211" s="33">
        <f t="shared" ref="S211:S216" si="287">$D211*R211</f>
        <v>34.5</v>
      </c>
      <c r="T211" s="32">
        <v>13.5</v>
      </c>
      <c r="U211" s="33">
        <f t="shared" ref="U211" si="288">$D211*T211</f>
        <v>67.5</v>
      </c>
      <c r="V211" s="32"/>
      <c r="W211" s="33">
        <f t="shared" ref="W211" si="289">$D211*V211</f>
        <v>0</v>
      </c>
    </row>
    <row r="212" spans="1:23" ht="14.4" customHeight="1" x14ac:dyDescent="0.25">
      <c r="A212" s="31" t="s">
        <v>207</v>
      </c>
      <c r="B212" s="31"/>
      <c r="C212" s="31" t="s">
        <v>254</v>
      </c>
      <c r="D212" s="59">
        <v>5</v>
      </c>
      <c r="E212" s="60" t="s">
        <v>279</v>
      </c>
      <c r="F212" s="32">
        <f t="shared" si="274"/>
        <v>4.5</v>
      </c>
      <c r="G212" s="33">
        <f t="shared" si="281"/>
        <v>22.5</v>
      </c>
      <c r="H212" s="87">
        <v>5</v>
      </c>
      <c r="I212" s="33">
        <f t="shared" si="282"/>
        <v>25</v>
      </c>
      <c r="J212" s="32">
        <f t="shared" si="275"/>
        <v>4.9000000000000004</v>
      </c>
      <c r="K212" s="33">
        <f t="shared" si="283"/>
        <v>24.5</v>
      </c>
      <c r="L212" s="32">
        <v>6.5</v>
      </c>
      <c r="M212" s="33">
        <f t="shared" si="284"/>
        <v>32.5</v>
      </c>
      <c r="N212" s="32">
        <v>4.5</v>
      </c>
      <c r="O212" s="33">
        <f t="shared" si="285"/>
        <v>22.5</v>
      </c>
      <c r="P212" s="32">
        <v>4</v>
      </c>
      <c r="Q212" s="33">
        <f t="shared" ref="Q212" si="290">$D212*P212</f>
        <v>20</v>
      </c>
      <c r="R212" s="32">
        <v>6.5</v>
      </c>
      <c r="S212" s="33">
        <f t="shared" si="287"/>
        <v>32.5</v>
      </c>
      <c r="T212" s="32">
        <v>9.3000000000000007</v>
      </c>
      <c r="U212" s="33">
        <f t="shared" ref="U212" si="291">$D212*T212</f>
        <v>46.5</v>
      </c>
      <c r="V212" s="32"/>
      <c r="W212" s="33">
        <f t="shared" ref="W212" si="292">$D212*V212</f>
        <v>0</v>
      </c>
    </row>
    <row r="213" spans="1:23" ht="14.4" customHeight="1" x14ac:dyDescent="0.25">
      <c r="A213" s="31" t="s">
        <v>208</v>
      </c>
      <c r="B213" s="31"/>
      <c r="C213" s="31" t="s">
        <v>255</v>
      </c>
      <c r="D213" s="59">
        <v>10</v>
      </c>
      <c r="E213" s="60" t="s">
        <v>280</v>
      </c>
      <c r="F213" s="32">
        <f t="shared" si="274"/>
        <v>9.5</v>
      </c>
      <c r="G213" s="33">
        <f t="shared" si="281"/>
        <v>95</v>
      </c>
      <c r="H213" s="32">
        <v>10</v>
      </c>
      <c r="I213" s="33">
        <f t="shared" si="282"/>
        <v>100</v>
      </c>
      <c r="J213" s="32">
        <f t="shared" si="275"/>
        <v>9.8000000000000007</v>
      </c>
      <c r="K213" s="33">
        <f t="shared" si="283"/>
        <v>98</v>
      </c>
      <c r="L213" s="32">
        <v>10</v>
      </c>
      <c r="M213" s="33">
        <f t="shared" si="284"/>
        <v>100</v>
      </c>
      <c r="N213" s="32">
        <v>9.5</v>
      </c>
      <c r="O213" s="33">
        <f t="shared" si="285"/>
        <v>95</v>
      </c>
      <c r="P213" s="32">
        <v>25</v>
      </c>
      <c r="Q213" s="33">
        <f t="shared" ref="Q213" si="293">$D213*P213</f>
        <v>250</v>
      </c>
      <c r="R213" s="32">
        <v>25</v>
      </c>
      <c r="S213" s="33">
        <f t="shared" si="287"/>
        <v>250</v>
      </c>
      <c r="T213" s="32">
        <v>15.8</v>
      </c>
      <c r="U213" s="33">
        <f t="shared" ref="U213" si="294">$D213*T213</f>
        <v>158</v>
      </c>
      <c r="V213" s="32"/>
      <c r="W213" s="33">
        <f t="shared" ref="W213" si="295">$D213*V213</f>
        <v>0</v>
      </c>
    </row>
    <row r="214" spans="1:23" ht="14.4" customHeight="1" x14ac:dyDescent="0.25">
      <c r="A214" s="31" t="s">
        <v>209</v>
      </c>
      <c r="B214" s="31"/>
      <c r="C214" s="31" t="s">
        <v>256</v>
      </c>
      <c r="D214" s="59">
        <v>10</v>
      </c>
      <c r="E214" s="60" t="s">
        <v>280</v>
      </c>
      <c r="F214" s="32">
        <f t="shared" si="274"/>
        <v>8</v>
      </c>
      <c r="G214" s="33">
        <f t="shared" si="281"/>
        <v>80</v>
      </c>
      <c r="H214" s="32">
        <v>20</v>
      </c>
      <c r="I214" s="33">
        <f t="shared" si="282"/>
        <v>200</v>
      </c>
      <c r="J214" s="32">
        <f t="shared" si="275"/>
        <v>19.600000000000001</v>
      </c>
      <c r="K214" s="33">
        <f t="shared" si="283"/>
        <v>196</v>
      </c>
      <c r="L214" s="32">
        <v>20</v>
      </c>
      <c r="M214" s="33">
        <f t="shared" si="284"/>
        <v>200</v>
      </c>
      <c r="N214" s="32">
        <v>8</v>
      </c>
      <c r="O214" s="33">
        <f t="shared" si="285"/>
        <v>80</v>
      </c>
      <c r="P214" s="32">
        <v>25</v>
      </c>
      <c r="Q214" s="33">
        <f t="shared" ref="Q214" si="296">$D214*P214</f>
        <v>250</v>
      </c>
      <c r="R214" s="32">
        <v>15</v>
      </c>
      <c r="S214" s="33">
        <f t="shared" si="287"/>
        <v>150</v>
      </c>
      <c r="T214" s="32">
        <v>15.8</v>
      </c>
      <c r="U214" s="33">
        <f t="shared" ref="U214" si="297">$D214*T214</f>
        <v>158</v>
      </c>
      <c r="V214" s="32"/>
      <c r="W214" s="33">
        <f t="shared" ref="W214" si="298">$D214*V214</f>
        <v>0</v>
      </c>
    </row>
    <row r="215" spans="1:23" ht="14.4" customHeight="1" x14ac:dyDescent="0.25">
      <c r="A215" s="31" t="s">
        <v>210</v>
      </c>
      <c r="B215" s="31"/>
      <c r="C215" s="31" t="s">
        <v>257</v>
      </c>
      <c r="D215" s="59">
        <v>5</v>
      </c>
      <c r="E215" s="60" t="s">
        <v>280</v>
      </c>
      <c r="F215" s="32">
        <f t="shared" si="274"/>
        <v>64</v>
      </c>
      <c r="G215" s="33">
        <f t="shared" si="281"/>
        <v>320</v>
      </c>
      <c r="H215" s="32">
        <v>65</v>
      </c>
      <c r="I215" s="33">
        <f t="shared" si="282"/>
        <v>325</v>
      </c>
      <c r="J215" s="32">
        <f t="shared" si="275"/>
        <v>63.699999999999996</v>
      </c>
      <c r="K215" s="33">
        <f t="shared" si="283"/>
        <v>318.5</v>
      </c>
      <c r="L215" s="32">
        <v>65</v>
      </c>
      <c r="M215" s="33">
        <f t="shared" si="284"/>
        <v>325</v>
      </c>
      <c r="N215" s="32">
        <v>64</v>
      </c>
      <c r="O215" s="33">
        <f t="shared" si="285"/>
        <v>320</v>
      </c>
      <c r="P215" s="32">
        <v>88</v>
      </c>
      <c r="Q215" s="33">
        <f t="shared" ref="Q215" si="299">$D215*P215</f>
        <v>440</v>
      </c>
      <c r="R215" s="32">
        <v>55</v>
      </c>
      <c r="S215" s="33">
        <f t="shared" si="287"/>
        <v>275</v>
      </c>
      <c r="T215" s="32">
        <v>79.5</v>
      </c>
      <c r="U215" s="33">
        <f t="shared" ref="U215" si="300">$D215*T215</f>
        <v>397.5</v>
      </c>
      <c r="V215" s="32"/>
      <c r="W215" s="33">
        <f t="shared" ref="W215" si="301">$D215*V215</f>
        <v>0</v>
      </c>
    </row>
    <row r="216" spans="1:23" ht="14.4" customHeight="1" x14ac:dyDescent="0.25">
      <c r="A216" s="31" t="s">
        <v>211</v>
      </c>
      <c r="B216" s="31"/>
      <c r="C216" s="31" t="s">
        <v>258</v>
      </c>
      <c r="D216" s="59">
        <v>5</v>
      </c>
      <c r="E216" s="60" t="s">
        <v>280</v>
      </c>
      <c r="F216" s="32">
        <f t="shared" si="274"/>
        <v>77</v>
      </c>
      <c r="G216" s="33">
        <f t="shared" si="281"/>
        <v>385</v>
      </c>
      <c r="H216" s="32">
        <v>80</v>
      </c>
      <c r="I216" s="33">
        <f t="shared" si="282"/>
        <v>400</v>
      </c>
      <c r="J216" s="32">
        <f t="shared" si="275"/>
        <v>78.400000000000006</v>
      </c>
      <c r="K216" s="33">
        <f t="shared" si="283"/>
        <v>392</v>
      </c>
      <c r="L216" s="32">
        <v>80</v>
      </c>
      <c r="M216" s="33">
        <f t="shared" si="284"/>
        <v>400</v>
      </c>
      <c r="N216" s="32">
        <v>77</v>
      </c>
      <c r="O216" s="33">
        <f t="shared" si="285"/>
        <v>385</v>
      </c>
      <c r="P216" s="32">
        <v>125</v>
      </c>
      <c r="Q216" s="33">
        <f t="shared" ref="Q216" si="302">$D216*P216</f>
        <v>625</v>
      </c>
      <c r="R216" s="32">
        <v>65</v>
      </c>
      <c r="S216" s="33">
        <f t="shared" si="287"/>
        <v>325</v>
      </c>
      <c r="T216" s="32">
        <v>105.7</v>
      </c>
      <c r="U216" s="33">
        <f t="shared" ref="U216" si="303">$D216*T216</f>
        <v>528.5</v>
      </c>
      <c r="V216" s="32"/>
      <c r="W216" s="33">
        <f t="shared" ref="W216" si="304">$D216*V216</f>
        <v>0</v>
      </c>
    </row>
    <row r="217" spans="1:23" ht="14.4" customHeight="1" x14ac:dyDescent="0.25">
      <c r="A217" s="31" t="s">
        <v>212</v>
      </c>
      <c r="B217" s="31" t="s">
        <v>220</v>
      </c>
      <c r="C217" s="31" t="s">
        <v>259</v>
      </c>
      <c r="D217" s="59">
        <v>1</v>
      </c>
      <c r="E217" s="60" t="s">
        <v>280</v>
      </c>
      <c r="F217" s="32">
        <f t="shared" si="274"/>
        <v>190</v>
      </c>
      <c r="G217" s="33" t="s">
        <v>285</v>
      </c>
      <c r="H217" s="32">
        <v>170</v>
      </c>
      <c r="I217" s="33" t="s">
        <v>285</v>
      </c>
      <c r="J217" s="32">
        <f t="shared" si="275"/>
        <v>166.6</v>
      </c>
      <c r="K217" s="33" t="s">
        <v>285</v>
      </c>
      <c r="L217" s="32">
        <v>170</v>
      </c>
      <c r="M217" s="33" t="s">
        <v>285</v>
      </c>
      <c r="N217" s="32">
        <v>190</v>
      </c>
      <c r="O217" s="33" t="s">
        <v>285</v>
      </c>
      <c r="P217" s="32">
        <v>239.95</v>
      </c>
      <c r="Q217" s="33" t="s">
        <v>285</v>
      </c>
      <c r="R217" s="32">
        <v>280</v>
      </c>
      <c r="S217" s="33" t="s">
        <v>285</v>
      </c>
      <c r="T217" s="32">
        <v>399</v>
      </c>
      <c r="U217" s="33" t="s">
        <v>285</v>
      </c>
      <c r="V217" s="32"/>
      <c r="W217" s="37" t="s">
        <v>285</v>
      </c>
    </row>
    <row r="218" spans="1:23" ht="14.4" customHeight="1" x14ac:dyDescent="0.25">
      <c r="A218" s="31" t="s">
        <v>213</v>
      </c>
      <c r="B218" s="31" t="s">
        <v>220</v>
      </c>
      <c r="C218" s="31" t="s">
        <v>260</v>
      </c>
      <c r="D218" s="59">
        <v>1</v>
      </c>
      <c r="E218" s="60" t="s">
        <v>280</v>
      </c>
      <c r="F218" s="32">
        <f t="shared" si="274"/>
        <v>240</v>
      </c>
      <c r="G218" s="33" t="s">
        <v>285</v>
      </c>
      <c r="H218" s="32">
        <v>200</v>
      </c>
      <c r="I218" s="33" t="s">
        <v>285</v>
      </c>
      <c r="J218" s="32">
        <f t="shared" si="275"/>
        <v>196</v>
      </c>
      <c r="K218" s="33" t="s">
        <v>285</v>
      </c>
      <c r="L218" s="32">
        <v>200</v>
      </c>
      <c r="M218" s="33" t="s">
        <v>285</v>
      </c>
      <c r="N218" s="32">
        <v>240</v>
      </c>
      <c r="O218" s="33" t="s">
        <v>285</v>
      </c>
      <c r="P218" s="32">
        <v>281.95</v>
      </c>
      <c r="Q218" s="33" t="s">
        <v>285</v>
      </c>
      <c r="R218" s="32">
        <v>350</v>
      </c>
      <c r="S218" s="33" t="s">
        <v>285</v>
      </c>
      <c r="T218" s="32">
        <v>450.2</v>
      </c>
      <c r="U218" s="33" t="s">
        <v>285</v>
      </c>
      <c r="V218" s="32"/>
      <c r="W218" s="37" t="s">
        <v>285</v>
      </c>
    </row>
    <row r="219" spans="1:23" ht="14.4" customHeight="1" x14ac:dyDescent="0.25">
      <c r="A219" s="38" t="s">
        <v>200</v>
      </c>
      <c r="B219" s="38"/>
      <c r="C219" s="38" t="s">
        <v>247</v>
      </c>
      <c r="D219" s="63"/>
      <c r="E219" s="64"/>
      <c r="F219" s="39"/>
      <c r="G219" s="40">
        <f>SUM(G206:G218)</f>
        <v>2057</v>
      </c>
      <c r="H219" s="39"/>
      <c r="I219" s="40">
        <f>SUM(I206:I218)</f>
        <v>2752</v>
      </c>
      <c r="J219" s="39"/>
      <c r="K219" s="40">
        <f>SUM(K206:K218)</f>
        <v>2696.96</v>
      </c>
      <c r="L219" s="39"/>
      <c r="M219" s="40">
        <f>SUM(M206:M218)</f>
        <v>2868.5</v>
      </c>
      <c r="N219" s="39"/>
      <c r="O219" s="40">
        <f>SUM(O206:O218)</f>
        <v>2057</v>
      </c>
      <c r="P219" s="39"/>
      <c r="Q219" s="40">
        <f>SUM(Q206:Q218)</f>
        <v>3034.7</v>
      </c>
      <c r="R219" s="39"/>
      <c r="S219" s="40">
        <f>SUM(S206:S218)</f>
        <v>2411</v>
      </c>
      <c r="T219" s="39"/>
      <c r="U219" s="40">
        <f>SUM(U206:U218)</f>
        <v>2655.2</v>
      </c>
      <c r="V219" s="39"/>
      <c r="W219" s="40">
        <f>SUM(W206:W218)</f>
        <v>0</v>
      </c>
    </row>
    <row r="220" spans="1:23" ht="14.4" customHeight="1" x14ac:dyDescent="0.25">
      <c r="A220" s="31"/>
      <c r="B220" s="31"/>
      <c r="C220" s="31"/>
      <c r="D220" s="59"/>
      <c r="E220" s="60"/>
      <c r="F220" s="32"/>
      <c r="G220" s="33"/>
      <c r="H220" s="32"/>
      <c r="I220" s="33"/>
      <c r="J220" s="32"/>
      <c r="K220" s="33"/>
      <c r="L220" s="32"/>
      <c r="M220" s="33"/>
      <c r="N220" s="32"/>
      <c r="O220" s="33"/>
      <c r="P220" s="32"/>
      <c r="Q220" s="33"/>
      <c r="R220" s="32"/>
      <c r="S220" s="33"/>
      <c r="T220" s="32"/>
      <c r="U220" s="33"/>
      <c r="V220" s="32"/>
      <c r="W220" s="33"/>
    </row>
    <row r="221" spans="1:23" ht="14.4" customHeight="1" x14ac:dyDescent="0.25">
      <c r="A221" s="31" t="s">
        <v>215</v>
      </c>
      <c r="B221" s="31"/>
      <c r="C221" s="31" t="s">
        <v>262</v>
      </c>
      <c r="D221" s="59">
        <v>128</v>
      </c>
      <c r="E221" s="60" t="s">
        <v>278</v>
      </c>
      <c r="F221" s="32">
        <f t="shared" ref="F221:F225" si="305">N221</f>
        <v>62</v>
      </c>
      <c r="G221" s="33">
        <f>$D221*F221</f>
        <v>7936</v>
      </c>
      <c r="H221" s="87">
        <v>68.5</v>
      </c>
      <c r="I221" s="33">
        <f>$D221*H221</f>
        <v>8768</v>
      </c>
      <c r="J221" s="32">
        <f t="shared" ref="J221:J225" si="306">$H221*$K$11</f>
        <v>67.13</v>
      </c>
      <c r="K221" s="33">
        <f>$D221*J221</f>
        <v>8592.64</v>
      </c>
      <c r="L221" s="32">
        <v>75</v>
      </c>
      <c r="M221" s="33">
        <f>$D221*L221</f>
        <v>9600</v>
      </c>
      <c r="N221" s="32">
        <v>62</v>
      </c>
      <c r="O221" s="33">
        <f t="shared" ref="O221:O225" si="307">$D221*N221</f>
        <v>7936</v>
      </c>
      <c r="P221" s="32">
        <v>102.25</v>
      </c>
      <c r="Q221" s="33">
        <f t="shared" ref="Q221" si="308">$D221*P221</f>
        <v>13088</v>
      </c>
      <c r="R221" s="32">
        <v>131.5</v>
      </c>
      <c r="S221" s="33">
        <f t="shared" ref="S221:S225" si="309">$D221*R221</f>
        <v>16832</v>
      </c>
      <c r="T221" s="32">
        <v>93.6</v>
      </c>
      <c r="U221" s="33">
        <f t="shared" ref="U221" si="310">$D221*T221</f>
        <v>11980.8</v>
      </c>
      <c r="V221" s="32"/>
      <c r="W221" s="33">
        <f t="shared" ref="W221" si="311">$D221*V221</f>
        <v>0</v>
      </c>
    </row>
    <row r="222" spans="1:23" ht="14.4" customHeight="1" x14ac:dyDescent="0.25">
      <c r="A222" s="31" t="s">
        <v>216</v>
      </c>
      <c r="B222" s="31"/>
      <c r="C222" s="31" t="s">
        <v>263</v>
      </c>
      <c r="D222" s="59">
        <v>10</v>
      </c>
      <c r="E222" s="60" t="s">
        <v>279</v>
      </c>
      <c r="F222" s="32">
        <f t="shared" si="305"/>
        <v>9</v>
      </c>
      <c r="G222" s="33">
        <f>$D222*F222</f>
        <v>90</v>
      </c>
      <c r="H222" s="87">
        <v>13</v>
      </c>
      <c r="I222" s="33">
        <f>$D222*H222</f>
        <v>130</v>
      </c>
      <c r="J222" s="32">
        <f t="shared" si="306"/>
        <v>12.74</v>
      </c>
      <c r="K222" s="33">
        <f>$D222*J222</f>
        <v>127.4</v>
      </c>
      <c r="L222" s="32">
        <v>22</v>
      </c>
      <c r="M222" s="33">
        <f>$D222*L222</f>
        <v>220</v>
      </c>
      <c r="N222" s="32">
        <v>9</v>
      </c>
      <c r="O222" s="33">
        <f t="shared" si="307"/>
        <v>90</v>
      </c>
      <c r="P222" s="32">
        <v>10.9</v>
      </c>
      <c r="Q222" s="33">
        <f t="shared" ref="Q222" si="312">$D222*P222</f>
        <v>109</v>
      </c>
      <c r="R222" s="32">
        <v>26.2</v>
      </c>
      <c r="S222" s="33">
        <f t="shared" si="309"/>
        <v>262</v>
      </c>
      <c r="T222" s="32">
        <v>22</v>
      </c>
      <c r="U222" s="33">
        <f t="shared" ref="U222" si="313">$D222*T222</f>
        <v>220</v>
      </c>
      <c r="V222" s="32"/>
      <c r="W222" s="33">
        <f t="shared" ref="W222" si="314">$D222*V222</f>
        <v>0</v>
      </c>
    </row>
    <row r="223" spans="1:23" ht="14.4" customHeight="1" x14ac:dyDescent="0.25">
      <c r="A223" s="31" t="s">
        <v>217</v>
      </c>
      <c r="B223" s="31"/>
      <c r="C223" s="31" t="s">
        <v>264</v>
      </c>
      <c r="D223" s="59">
        <v>87</v>
      </c>
      <c r="E223" s="60" t="s">
        <v>279</v>
      </c>
      <c r="F223" s="32">
        <f t="shared" si="305"/>
        <v>67</v>
      </c>
      <c r="G223" s="33">
        <f>$D223*F223</f>
        <v>5829</v>
      </c>
      <c r="H223" s="32">
        <v>28</v>
      </c>
      <c r="I223" s="33">
        <f>$D223*H223</f>
        <v>2436</v>
      </c>
      <c r="J223" s="32">
        <f t="shared" si="306"/>
        <v>27.439999999999998</v>
      </c>
      <c r="K223" s="33">
        <f>$D223*J223</f>
        <v>2387.2799999999997</v>
      </c>
      <c r="L223" s="32">
        <v>28</v>
      </c>
      <c r="M223" s="33">
        <f>$D223*L223</f>
        <v>2436</v>
      </c>
      <c r="N223" s="32">
        <v>67</v>
      </c>
      <c r="O223" s="33">
        <f t="shared" si="307"/>
        <v>5829</v>
      </c>
      <c r="P223" s="32">
        <v>36</v>
      </c>
      <c r="Q223" s="33">
        <f t="shared" ref="Q223" si="315">$D223*P223</f>
        <v>3132</v>
      </c>
      <c r="R223" s="32">
        <v>35</v>
      </c>
      <c r="S223" s="33">
        <f t="shared" si="309"/>
        <v>3045</v>
      </c>
      <c r="T223" s="32">
        <v>22</v>
      </c>
      <c r="U223" s="33">
        <f t="shared" ref="U223" si="316">$D223*T223</f>
        <v>1914</v>
      </c>
      <c r="V223" s="32"/>
      <c r="W223" s="33">
        <f t="shared" ref="W223" si="317">$D223*V223</f>
        <v>0</v>
      </c>
    </row>
    <row r="224" spans="1:23" ht="14.4" customHeight="1" x14ac:dyDescent="0.25">
      <c r="A224" s="31" t="s">
        <v>218</v>
      </c>
      <c r="B224" s="31"/>
      <c r="C224" s="31" t="s">
        <v>265</v>
      </c>
      <c r="D224" s="59">
        <v>5</v>
      </c>
      <c r="E224" s="60" t="s">
        <v>280</v>
      </c>
      <c r="F224" s="32">
        <f t="shared" si="305"/>
        <v>9</v>
      </c>
      <c r="G224" s="33">
        <f>$D224*F224</f>
        <v>45</v>
      </c>
      <c r="H224" s="32">
        <v>15</v>
      </c>
      <c r="I224" s="33">
        <f>$D224*H224</f>
        <v>75</v>
      </c>
      <c r="J224" s="32">
        <f t="shared" si="306"/>
        <v>14.7</v>
      </c>
      <c r="K224" s="33">
        <f>$D224*J224</f>
        <v>73.5</v>
      </c>
      <c r="L224" s="32">
        <v>15</v>
      </c>
      <c r="M224" s="33">
        <f>$D224*L224</f>
        <v>75</v>
      </c>
      <c r="N224" s="32">
        <v>9</v>
      </c>
      <c r="O224" s="33">
        <f t="shared" si="307"/>
        <v>45</v>
      </c>
      <c r="P224" s="32">
        <v>25</v>
      </c>
      <c r="Q224" s="33">
        <f t="shared" ref="Q224" si="318">$D224*P224</f>
        <v>125</v>
      </c>
      <c r="R224" s="32">
        <v>26</v>
      </c>
      <c r="S224" s="33">
        <f t="shared" si="309"/>
        <v>130</v>
      </c>
      <c r="T224" s="32">
        <v>92.6</v>
      </c>
      <c r="U224" s="33">
        <f t="shared" ref="U224" si="319">$D224*T224</f>
        <v>463</v>
      </c>
      <c r="V224" s="32"/>
      <c r="W224" s="33">
        <f t="shared" ref="W224" si="320">$D224*V224</f>
        <v>0</v>
      </c>
    </row>
    <row r="225" spans="1:23" ht="14.4" customHeight="1" x14ac:dyDescent="0.25">
      <c r="A225" s="31" t="s">
        <v>219</v>
      </c>
      <c r="B225" s="31"/>
      <c r="C225" s="31" t="s">
        <v>266</v>
      </c>
      <c r="D225" s="59">
        <v>5</v>
      </c>
      <c r="E225" s="60" t="s">
        <v>280</v>
      </c>
      <c r="F225" s="32">
        <f t="shared" si="305"/>
        <v>12</v>
      </c>
      <c r="G225" s="33">
        <f>$D225*F225</f>
        <v>60</v>
      </c>
      <c r="H225" s="32">
        <v>30</v>
      </c>
      <c r="I225" s="33">
        <f>$D225*H225</f>
        <v>150</v>
      </c>
      <c r="J225" s="32">
        <f t="shared" si="306"/>
        <v>29.4</v>
      </c>
      <c r="K225" s="33">
        <f>$D225*J225</f>
        <v>147</v>
      </c>
      <c r="L225" s="32">
        <v>30</v>
      </c>
      <c r="M225" s="33">
        <f>$D225*L225</f>
        <v>150</v>
      </c>
      <c r="N225" s="32">
        <v>12</v>
      </c>
      <c r="O225" s="33">
        <f t="shared" si="307"/>
        <v>60</v>
      </c>
      <c r="P225" s="32">
        <v>25</v>
      </c>
      <c r="Q225" s="33">
        <f t="shared" ref="Q225" si="321">$D225*P225</f>
        <v>125</v>
      </c>
      <c r="R225" s="32">
        <v>35</v>
      </c>
      <c r="S225" s="33">
        <f t="shared" si="309"/>
        <v>175</v>
      </c>
      <c r="T225" s="32">
        <v>77.099999999999994</v>
      </c>
      <c r="U225" s="33">
        <f t="shared" ref="U225" si="322">$D225*T225</f>
        <v>385.5</v>
      </c>
      <c r="V225" s="32"/>
      <c r="W225" s="33">
        <f t="shared" ref="W225" si="323">$D225*V225</f>
        <v>0</v>
      </c>
    </row>
    <row r="226" spans="1:23" ht="14.4" customHeight="1" x14ac:dyDescent="0.25">
      <c r="A226" s="38" t="s">
        <v>214</v>
      </c>
      <c r="B226" s="38"/>
      <c r="C226" s="38" t="s">
        <v>261</v>
      </c>
      <c r="D226" s="63"/>
      <c r="E226" s="64"/>
      <c r="F226" s="39"/>
      <c r="G226" s="40">
        <f>SUM(G221:G225)</f>
        <v>13960</v>
      </c>
      <c r="H226" s="39"/>
      <c r="I226" s="40">
        <f>SUM(I221:I225)</f>
        <v>11559</v>
      </c>
      <c r="J226" s="39"/>
      <c r="K226" s="40">
        <f>SUM(K221:K225)</f>
        <v>11327.82</v>
      </c>
      <c r="L226" s="39"/>
      <c r="M226" s="40">
        <f>SUM(M221:M225)</f>
        <v>12481</v>
      </c>
      <c r="N226" s="39"/>
      <c r="O226" s="40">
        <f>SUM(O221:O225)</f>
        <v>13960</v>
      </c>
      <c r="P226" s="39"/>
      <c r="Q226" s="40">
        <f>SUM(Q221:Q225)</f>
        <v>16579</v>
      </c>
      <c r="R226" s="39"/>
      <c r="S226" s="40">
        <f>SUM(S221:S225)</f>
        <v>20444</v>
      </c>
      <c r="T226" s="39"/>
      <c r="U226" s="40">
        <f>SUM(U221:U225)</f>
        <v>14963.3</v>
      </c>
      <c r="V226" s="39"/>
      <c r="W226" s="40">
        <f>SUM(W221:W225)</f>
        <v>0</v>
      </c>
    </row>
    <row r="227" spans="1:23" ht="14.4" customHeight="1" x14ac:dyDescent="0.3">
      <c r="A227" s="31"/>
      <c r="B227" s="31"/>
      <c r="C227" s="31"/>
      <c r="D227" s="59"/>
      <c r="E227" s="60"/>
      <c r="F227" s="32"/>
      <c r="G227" s="33"/>
      <c r="H227" s="73"/>
      <c r="I227" s="33"/>
      <c r="J227" s="73"/>
      <c r="K227" s="33"/>
      <c r="L227" s="73"/>
      <c r="M227" s="33"/>
      <c r="N227" s="32"/>
      <c r="O227" s="33"/>
      <c r="P227" s="32"/>
      <c r="Q227" s="33"/>
      <c r="R227" s="32"/>
      <c r="S227" s="33"/>
      <c r="T227" s="32"/>
      <c r="U227" s="33"/>
      <c r="V227" s="32"/>
      <c r="W227" s="33"/>
    </row>
    <row r="228" spans="1:23" s="43" customFormat="1" ht="14.4" customHeight="1" x14ac:dyDescent="0.25">
      <c r="A228" s="41"/>
      <c r="B228" s="41"/>
      <c r="C228" s="42" t="s">
        <v>284</v>
      </c>
      <c r="D228" s="61"/>
      <c r="E228" s="62"/>
      <c r="F228" s="35"/>
      <c r="G228" s="36"/>
      <c r="H228" s="74"/>
      <c r="I228" s="36"/>
      <c r="J228" s="74"/>
      <c r="K228" s="36"/>
      <c r="L228" s="74"/>
      <c r="M228" s="36"/>
      <c r="N228" s="35"/>
      <c r="O228" s="36"/>
      <c r="P228" s="35"/>
      <c r="Q228" s="36"/>
      <c r="R228" s="35"/>
      <c r="S228" s="36"/>
      <c r="T228" s="35"/>
      <c r="U228" s="36"/>
      <c r="V228" s="35"/>
      <c r="W228" s="36"/>
    </row>
    <row r="229" spans="1:23" ht="14.4" customHeight="1" x14ac:dyDescent="0.3">
      <c r="A229" s="31" t="str">
        <f>A38</f>
        <v>01.01.01.</v>
      </c>
      <c r="B229" s="31"/>
      <c r="C229" s="31" t="str">
        <f>C38</f>
        <v>Trockenbauarbeiten - Wände</v>
      </c>
      <c r="D229" s="59"/>
      <c r="E229" s="60"/>
      <c r="F229" s="73"/>
      <c r="G229" s="33">
        <f t="shared" ref="G229" si="324">G38</f>
        <v>97616.5</v>
      </c>
      <c r="H229" s="73"/>
      <c r="I229" s="33">
        <f>I38</f>
        <v>87434</v>
      </c>
      <c r="J229" s="73"/>
      <c r="K229" s="33">
        <f>K38</f>
        <v>85685.319999999992</v>
      </c>
      <c r="L229" s="73"/>
      <c r="M229" s="33">
        <f>M38</f>
        <v>88750</v>
      </c>
      <c r="N229" s="73"/>
      <c r="O229" s="33">
        <f t="shared" ref="O229" si="325">O38</f>
        <v>97616.5</v>
      </c>
      <c r="P229" s="73"/>
      <c r="Q229" s="33">
        <f t="shared" ref="Q229" si="326">Q38</f>
        <v>111418.5</v>
      </c>
      <c r="R229" s="73"/>
      <c r="S229" s="33">
        <f t="shared" ref="S229" si="327">S38</f>
        <v>120963.95</v>
      </c>
      <c r="T229" s="73"/>
      <c r="U229" s="33">
        <f t="shared" ref="U229" si="328">U38</f>
        <v>114547.19999999998</v>
      </c>
      <c r="V229" s="73"/>
      <c r="W229" s="33">
        <f t="shared" ref="W229" si="329">W38</f>
        <v>0</v>
      </c>
    </row>
    <row r="230" spans="1:23" ht="14.4" customHeight="1" x14ac:dyDescent="0.3">
      <c r="A230" s="31" t="str">
        <f>A53</f>
        <v>01.02.01.</v>
      </c>
      <c r="B230" s="31"/>
      <c r="C230" s="31" t="str">
        <f>C53</f>
        <v>Trockenbauarbeiten - GK-Decke</v>
      </c>
      <c r="D230" s="59"/>
      <c r="E230" s="60"/>
      <c r="F230" s="73"/>
      <c r="G230" s="33">
        <f t="shared" ref="G230" si="330">G53</f>
        <v>1378</v>
      </c>
      <c r="H230" s="73"/>
      <c r="I230" s="33">
        <f>I53</f>
        <v>1679</v>
      </c>
      <c r="J230" s="73"/>
      <c r="K230" s="33">
        <f>K53</f>
        <v>1645.42</v>
      </c>
      <c r="L230" s="73"/>
      <c r="M230" s="33">
        <f>M53</f>
        <v>1827</v>
      </c>
      <c r="N230" s="73"/>
      <c r="O230" s="33">
        <f t="shared" ref="O230" si="331">O53</f>
        <v>1378</v>
      </c>
      <c r="P230" s="73"/>
      <c r="Q230" s="33">
        <f t="shared" ref="Q230" si="332">Q53</f>
        <v>2154.4</v>
      </c>
      <c r="R230" s="73"/>
      <c r="S230" s="33">
        <f t="shared" ref="S230" si="333">S53</f>
        <v>1556</v>
      </c>
      <c r="T230" s="73"/>
      <c r="U230" s="33">
        <f t="shared" ref="U230" si="334">U53</f>
        <v>1719.4</v>
      </c>
      <c r="V230" s="73"/>
      <c r="W230" s="33">
        <f t="shared" ref="W230" si="335">W53</f>
        <v>0</v>
      </c>
    </row>
    <row r="231" spans="1:23" ht="14.4" customHeight="1" x14ac:dyDescent="0.3">
      <c r="A231" s="31" t="str">
        <f>A60</f>
        <v>01.02.02.</v>
      </c>
      <c r="B231" s="31"/>
      <c r="C231" s="31" t="str">
        <f>C60</f>
        <v>Trockenbauarbeiten - Akustikdecke</v>
      </c>
      <c r="D231" s="59"/>
      <c r="E231" s="60"/>
      <c r="F231" s="73"/>
      <c r="G231" s="33">
        <f t="shared" ref="G231" si="336">G60</f>
        <v>5935</v>
      </c>
      <c r="H231" s="73"/>
      <c r="I231" s="33">
        <f>I60</f>
        <v>5224</v>
      </c>
      <c r="J231" s="73"/>
      <c r="K231" s="33">
        <f>K60</f>
        <v>5119.5200000000004</v>
      </c>
      <c r="L231" s="73"/>
      <c r="M231" s="33">
        <f>M60</f>
        <v>5691</v>
      </c>
      <c r="N231" s="73"/>
      <c r="O231" s="33">
        <f t="shared" ref="O231" si="337">O60</f>
        <v>5935</v>
      </c>
      <c r="P231" s="73"/>
      <c r="Q231" s="33">
        <f t="shared" ref="Q231" si="338">Q60</f>
        <v>7441.5</v>
      </c>
      <c r="R231" s="73"/>
      <c r="S231" s="33">
        <f t="shared" ref="S231" si="339">S60</f>
        <v>9314</v>
      </c>
      <c r="T231" s="73"/>
      <c r="U231" s="33">
        <f t="shared" ref="U231" si="340">U60</f>
        <v>6261.4000000000005</v>
      </c>
      <c r="V231" s="73"/>
      <c r="W231" s="33">
        <f t="shared" ref="W231" si="341">W60</f>
        <v>0</v>
      </c>
    </row>
    <row r="232" spans="1:23" ht="14.4" customHeight="1" x14ac:dyDescent="0.3">
      <c r="A232" s="31" t="str">
        <f>A66</f>
        <v>01.02.03.</v>
      </c>
      <c r="B232" s="31"/>
      <c r="C232" s="31" t="str">
        <f>C66</f>
        <v>Trockenbauarbeiten - GK-Deckenschürze</v>
      </c>
      <c r="D232" s="59"/>
      <c r="E232" s="60"/>
      <c r="F232" s="73"/>
      <c r="G232" s="33">
        <f t="shared" ref="G232" si="342">G66</f>
        <v>750.85</v>
      </c>
      <c r="H232" s="73"/>
      <c r="I232" s="33">
        <f>I66</f>
        <v>592.5</v>
      </c>
      <c r="J232" s="73"/>
      <c r="K232" s="33">
        <f>K66</f>
        <v>580.65</v>
      </c>
      <c r="L232" s="73"/>
      <c r="M232" s="33">
        <f>M66</f>
        <v>604.04999999999995</v>
      </c>
      <c r="N232" s="73"/>
      <c r="O232" s="33">
        <f t="shared" ref="O232" si="343">O66</f>
        <v>750.85</v>
      </c>
      <c r="P232" s="73"/>
      <c r="Q232" s="33">
        <f t="shared" ref="Q232" si="344">Q66</f>
        <v>732.3</v>
      </c>
      <c r="R232" s="73"/>
      <c r="S232" s="33">
        <f t="shared" ref="S232" si="345">S66</f>
        <v>851.77</v>
      </c>
      <c r="T232" s="73"/>
      <c r="U232" s="33">
        <f t="shared" ref="U232" si="346">U66</f>
        <v>1354.47</v>
      </c>
      <c r="V232" s="73"/>
      <c r="W232" s="33">
        <f t="shared" ref="W232" si="347">W66</f>
        <v>0</v>
      </c>
    </row>
    <row r="233" spans="1:23" ht="14.4" customHeight="1" x14ac:dyDescent="0.3">
      <c r="A233" s="44" t="str">
        <f>A12</f>
        <v>01.</v>
      </c>
      <c r="B233" s="44"/>
      <c r="C233" s="44" t="str">
        <f>C12</f>
        <v>Mietbereich Lorenz 2. + 3. OG</v>
      </c>
      <c r="D233" s="59"/>
      <c r="E233" s="60"/>
      <c r="F233" s="73">
        <f t="shared" ref="F233" si="348">SUM(G229:G232)</f>
        <v>105680.35</v>
      </c>
      <c r="G233" s="33"/>
      <c r="H233" s="73">
        <f>SUM(I229:I232)</f>
        <v>94929.5</v>
      </c>
      <c r="I233" s="33"/>
      <c r="J233" s="73">
        <f>SUM(K229:K232)</f>
        <v>93030.909999999989</v>
      </c>
      <c r="K233" s="33"/>
      <c r="L233" s="73">
        <f>SUM(M229:M232)</f>
        <v>96872.05</v>
      </c>
      <c r="M233" s="33"/>
      <c r="N233" s="73">
        <f t="shared" ref="N233" si="349">SUM(O229:O232)</f>
        <v>105680.35</v>
      </c>
      <c r="O233" s="33"/>
      <c r="P233" s="73">
        <f t="shared" ref="P233" si="350">SUM(Q229:Q232)</f>
        <v>121746.7</v>
      </c>
      <c r="Q233" s="33"/>
      <c r="R233" s="73">
        <f t="shared" ref="R233" si="351">SUM(S229:S232)</f>
        <v>132685.72</v>
      </c>
      <c r="S233" s="33"/>
      <c r="T233" s="73">
        <f t="shared" ref="T233" si="352">SUM(U229:U232)</f>
        <v>123882.46999999997</v>
      </c>
      <c r="U233" s="33"/>
      <c r="V233" s="73">
        <f t="shared" ref="V233" si="353">SUM(W229:W232)</f>
        <v>0</v>
      </c>
      <c r="W233" s="33"/>
    </row>
    <row r="234" spans="1:23" ht="14.4" customHeight="1" x14ac:dyDescent="0.3">
      <c r="A234" s="31" t="str">
        <f>A96</f>
        <v>02.01.01.</v>
      </c>
      <c r="B234" s="31"/>
      <c r="C234" s="31" t="str">
        <f>C96</f>
        <v>Trockenbauarbeiten - Wände</v>
      </c>
      <c r="D234" s="59"/>
      <c r="E234" s="60"/>
      <c r="F234" s="73"/>
      <c r="G234" s="33">
        <f t="shared" ref="G234" si="354">G96</f>
        <v>107204.7</v>
      </c>
      <c r="H234" s="73"/>
      <c r="I234" s="33">
        <f>I96</f>
        <v>97230</v>
      </c>
      <c r="J234" s="73"/>
      <c r="K234" s="33">
        <f>K96</f>
        <v>95285.4</v>
      </c>
      <c r="L234" s="73"/>
      <c r="M234" s="33">
        <f>M96</f>
        <v>100008</v>
      </c>
      <c r="N234" s="73"/>
      <c r="O234" s="33">
        <f t="shared" ref="O234" si="355">O96</f>
        <v>107204.7</v>
      </c>
      <c r="P234" s="73"/>
      <c r="Q234" s="33">
        <f t="shared" ref="Q234" si="356">Q96</f>
        <v>121020.20000000003</v>
      </c>
      <c r="R234" s="73"/>
      <c r="S234" s="33">
        <f t="shared" ref="S234" si="357">S96</f>
        <v>115769.30000000002</v>
      </c>
      <c r="T234" s="73"/>
      <c r="U234" s="33">
        <f t="shared" ref="U234" si="358">U96</f>
        <v>133361.59999999998</v>
      </c>
      <c r="V234" s="73"/>
      <c r="W234" s="33">
        <f t="shared" ref="W234" si="359">W96</f>
        <v>0</v>
      </c>
    </row>
    <row r="235" spans="1:23" ht="14.4" customHeight="1" x14ac:dyDescent="0.3">
      <c r="A235" s="31" t="str">
        <f>A111</f>
        <v>02.02.01.</v>
      </c>
      <c r="B235" s="31"/>
      <c r="C235" s="31" t="str">
        <f>C111</f>
        <v>Trockenbauarbeiten - GK-Decke</v>
      </c>
      <c r="D235" s="59"/>
      <c r="E235" s="60"/>
      <c r="F235" s="73"/>
      <c r="G235" s="33">
        <f t="shared" ref="G235" si="360">G111</f>
        <v>1378</v>
      </c>
      <c r="H235" s="73"/>
      <c r="I235" s="33">
        <f>I111</f>
        <v>1679</v>
      </c>
      <c r="J235" s="73"/>
      <c r="K235" s="33">
        <f>K111</f>
        <v>1645.42</v>
      </c>
      <c r="L235" s="73"/>
      <c r="M235" s="33">
        <f>M111</f>
        <v>1827</v>
      </c>
      <c r="N235" s="73"/>
      <c r="O235" s="33">
        <f t="shared" ref="O235" si="361">O111</f>
        <v>1378</v>
      </c>
      <c r="P235" s="73"/>
      <c r="Q235" s="33">
        <f t="shared" ref="Q235" si="362">Q111</f>
        <v>2154.4</v>
      </c>
      <c r="R235" s="73"/>
      <c r="S235" s="33">
        <f t="shared" ref="S235" si="363">S111</f>
        <v>1556</v>
      </c>
      <c r="T235" s="73"/>
      <c r="U235" s="33">
        <f t="shared" ref="U235" si="364">U111</f>
        <v>1847.9</v>
      </c>
      <c r="V235" s="73"/>
      <c r="W235" s="33">
        <f t="shared" ref="W235" si="365">W111</f>
        <v>0</v>
      </c>
    </row>
    <row r="236" spans="1:23" ht="14.4" customHeight="1" x14ac:dyDescent="0.3">
      <c r="A236" s="31" t="str">
        <f>A118</f>
        <v>02.02.02.</v>
      </c>
      <c r="B236" s="31"/>
      <c r="C236" s="31" t="str">
        <f>C118</f>
        <v>Trockenbauarbeiten - Akustikdecke</v>
      </c>
      <c r="D236" s="59"/>
      <c r="E236" s="60"/>
      <c r="F236" s="73"/>
      <c r="G236" s="33">
        <f t="shared" ref="G236" si="366">G118</f>
        <v>5935</v>
      </c>
      <c r="H236" s="73"/>
      <c r="I236" s="33">
        <f>I118</f>
        <v>5224</v>
      </c>
      <c r="J236" s="73"/>
      <c r="K236" s="33">
        <f>K118</f>
        <v>5119.5200000000004</v>
      </c>
      <c r="L236" s="73"/>
      <c r="M236" s="33">
        <f>M118</f>
        <v>5691</v>
      </c>
      <c r="N236" s="73"/>
      <c r="O236" s="33">
        <f t="shared" ref="O236" si="367">O118</f>
        <v>5935</v>
      </c>
      <c r="P236" s="73"/>
      <c r="Q236" s="33">
        <f t="shared" ref="Q236" si="368">Q118</f>
        <v>7441.5</v>
      </c>
      <c r="R236" s="73"/>
      <c r="S236" s="33">
        <f t="shared" ref="S236" si="369">S118</f>
        <v>9314</v>
      </c>
      <c r="T236" s="73"/>
      <c r="U236" s="33">
        <f t="shared" ref="U236" si="370">U118</f>
        <v>6733.2</v>
      </c>
      <c r="V236" s="73"/>
      <c r="W236" s="33">
        <f t="shared" ref="W236" si="371">W118</f>
        <v>0</v>
      </c>
    </row>
    <row r="237" spans="1:23" ht="14.4" customHeight="1" x14ac:dyDescent="0.3">
      <c r="A237" s="31" t="str">
        <f>A124</f>
        <v>02.02.03.</v>
      </c>
      <c r="B237" s="31"/>
      <c r="C237" s="31" t="str">
        <f>C124</f>
        <v>Trockenbauarbeiten - GK-Deckenschürze</v>
      </c>
      <c r="D237" s="59"/>
      <c r="E237" s="60"/>
      <c r="F237" s="73"/>
      <c r="G237" s="33">
        <f t="shared" ref="G237" si="372">G124</f>
        <v>750.85</v>
      </c>
      <c r="H237" s="73"/>
      <c r="I237" s="33">
        <f>I124</f>
        <v>604.04999999999995</v>
      </c>
      <c r="J237" s="73"/>
      <c r="K237" s="33">
        <f>K124</f>
        <v>591.96899999999994</v>
      </c>
      <c r="L237" s="73"/>
      <c r="M237" s="33">
        <f>M124</f>
        <v>604.04999999999995</v>
      </c>
      <c r="N237" s="73"/>
      <c r="O237" s="33">
        <f t="shared" ref="O237" si="373">O124</f>
        <v>750.85</v>
      </c>
      <c r="P237" s="73"/>
      <c r="Q237" s="33">
        <f t="shared" ref="Q237" si="374">Q124</f>
        <v>732.3</v>
      </c>
      <c r="R237" s="73"/>
      <c r="S237" s="33">
        <f t="shared" ref="S237" si="375">S124</f>
        <v>851.77</v>
      </c>
      <c r="T237" s="73"/>
      <c r="U237" s="33">
        <f t="shared" ref="U237" si="376">U124</f>
        <v>1455.87</v>
      </c>
      <c r="V237" s="73"/>
      <c r="W237" s="33">
        <f t="shared" ref="W237" si="377">W124</f>
        <v>0</v>
      </c>
    </row>
    <row r="238" spans="1:23" ht="14.4" customHeight="1" x14ac:dyDescent="0.3">
      <c r="A238" s="44" t="str">
        <f>A68</f>
        <v>02.</v>
      </c>
      <c r="B238" s="44"/>
      <c r="C238" s="44" t="str">
        <f>C68</f>
        <v>Mietbereich DWD EG + 4.OG</v>
      </c>
      <c r="D238" s="59"/>
      <c r="E238" s="60"/>
      <c r="F238" s="73">
        <f t="shared" ref="F238" si="378">SUM(G233:G237)</f>
        <v>115268.55</v>
      </c>
      <c r="G238" s="33"/>
      <c r="H238" s="73">
        <f>SUM(I233:I237)</f>
        <v>104737.05</v>
      </c>
      <c r="I238" s="33"/>
      <c r="J238" s="73">
        <f>SUM(K233:K237)</f>
        <v>102642.30899999999</v>
      </c>
      <c r="K238" s="33"/>
      <c r="L238" s="73">
        <f>SUM(M233:M237)</f>
        <v>108130.05</v>
      </c>
      <c r="M238" s="33"/>
      <c r="N238" s="73">
        <f t="shared" ref="N238" si="379">SUM(O233:O237)</f>
        <v>115268.55</v>
      </c>
      <c r="O238" s="33"/>
      <c r="P238" s="73">
        <f t="shared" ref="P238" si="380">SUM(Q233:Q237)</f>
        <v>131348.40000000002</v>
      </c>
      <c r="Q238" s="33"/>
      <c r="R238" s="73">
        <f t="shared" ref="R238" si="381">SUM(S233:S237)</f>
        <v>127491.07000000002</v>
      </c>
      <c r="S238" s="33"/>
      <c r="T238" s="73">
        <f t="shared" ref="T238" si="382">SUM(U233:U237)</f>
        <v>143398.56999999998</v>
      </c>
      <c r="U238" s="33"/>
      <c r="V238" s="73">
        <f t="shared" ref="V238" si="383">SUM(W233:W237)</f>
        <v>0</v>
      </c>
      <c r="W238" s="33"/>
    </row>
    <row r="239" spans="1:23" ht="14.4" customHeight="1" x14ac:dyDescent="0.3">
      <c r="A239" s="31" t="str">
        <f>A151</f>
        <v>03.01.01.</v>
      </c>
      <c r="B239" s="31"/>
      <c r="C239" s="31" t="str">
        <f>C151</f>
        <v>Trockenbauarbeiten - Wände</v>
      </c>
      <c r="D239" s="59"/>
      <c r="E239" s="60"/>
      <c r="F239" s="73"/>
      <c r="G239" s="33">
        <f t="shared" ref="G239" si="384">G151</f>
        <v>16872</v>
      </c>
      <c r="H239" s="73"/>
      <c r="I239" s="33">
        <f>I151</f>
        <v>14709</v>
      </c>
      <c r="J239" s="73"/>
      <c r="K239" s="33">
        <f>K151</f>
        <v>14414.820000000002</v>
      </c>
      <c r="L239" s="73"/>
      <c r="M239" s="33">
        <f>M151</f>
        <v>14579</v>
      </c>
      <c r="N239" s="73"/>
      <c r="O239" s="33">
        <f t="shared" ref="O239" si="385">O151</f>
        <v>16872</v>
      </c>
      <c r="P239" s="73"/>
      <c r="Q239" s="33">
        <f t="shared" ref="Q239" si="386">Q151</f>
        <v>18188.05</v>
      </c>
      <c r="R239" s="73"/>
      <c r="S239" s="33">
        <f t="shared" ref="S239" si="387">S151</f>
        <v>20251.5</v>
      </c>
      <c r="T239" s="73"/>
      <c r="U239" s="33">
        <f t="shared" ref="U239" si="388">U151</f>
        <v>19273.999999999996</v>
      </c>
      <c r="V239" s="73"/>
      <c r="W239" s="33">
        <f t="shared" ref="W239" si="389">W151</f>
        <v>0</v>
      </c>
    </row>
    <row r="240" spans="1:23" ht="14.4" customHeight="1" x14ac:dyDescent="0.3">
      <c r="A240" s="31" t="str">
        <f>A166</f>
        <v>03.02.01.</v>
      </c>
      <c r="B240" s="31"/>
      <c r="C240" s="31" t="str">
        <f>C166</f>
        <v>Trockenbauarbeiten - GK-Decke</v>
      </c>
      <c r="D240" s="59"/>
      <c r="E240" s="60"/>
      <c r="F240" s="73"/>
      <c r="G240" s="33">
        <f t="shared" ref="G240" si="390">G166</f>
        <v>1153</v>
      </c>
      <c r="H240" s="73"/>
      <c r="I240" s="33">
        <f>I166</f>
        <v>1384</v>
      </c>
      <c r="J240" s="73"/>
      <c r="K240" s="33">
        <f>K166</f>
        <v>1356.32</v>
      </c>
      <c r="L240" s="73"/>
      <c r="M240" s="33">
        <f>M166</f>
        <v>1517</v>
      </c>
      <c r="N240" s="73"/>
      <c r="O240" s="33">
        <f t="shared" ref="O240" si="391">O166</f>
        <v>1153</v>
      </c>
      <c r="P240" s="73"/>
      <c r="Q240" s="33">
        <f t="shared" ref="Q240" si="392">Q166</f>
        <v>1904.9</v>
      </c>
      <c r="R240" s="73"/>
      <c r="S240" s="33">
        <f t="shared" ref="S240" si="393">S166</f>
        <v>1316</v>
      </c>
      <c r="T240" s="73"/>
      <c r="U240" s="33">
        <f t="shared" ref="U240" si="394">U166</f>
        <v>1577.4</v>
      </c>
      <c r="V240" s="73"/>
      <c r="W240" s="33">
        <f t="shared" ref="W240" si="395">W166</f>
        <v>0</v>
      </c>
    </row>
    <row r="241" spans="1:23" ht="14.4" customHeight="1" x14ac:dyDescent="0.3">
      <c r="A241" s="31" t="str">
        <f>A173</f>
        <v>03.02.02.</v>
      </c>
      <c r="B241" s="31"/>
      <c r="C241" s="31" t="str">
        <f>C173</f>
        <v>Trockenbauarbeiten - Akustikdecke</v>
      </c>
      <c r="D241" s="59"/>
      <c r="E241" s="60"/>
      <c r="F241" s="73"/>
      <c r="G241" s="33">
        <f t="shared" ref="G241" si="396">G173</f>
        <v>5935</v>
      </c>
      <c r="H241" s="73"/>
      <c r="I241" s="33">
        <f>I173</f>
        <v>5214</v>
      </c>
      <c r="J241" s="73"/>
      <c r="K241" s="33">
        <f>K173</f>
        <v>5109.7199999999993</v>
      </c>
      <c r="L241" s="73"/>
      <c r="M241" s="33">
        <f>M173</f>
        <v>5691</v>
      </c>
      <c r="N241" s="73"/>
      <c r="O241" s="33">
        <f t="shared" ref="O241" si="397">O173</f>
        <v>5935</v>
      </c>
      <c r="P241" s="73"/>
      <c r="Q241" s="33">
        <f t="shared" ref="Q241" si="398">Q173</f>
        <v>7441.5</v>
      </c>
      <c r="R241" s="73"/>
      <c r="S241" s="33">
        <f t="shared" ref="S241" si="399">S173</f>
        <v>9314</v>
      </c>
      <c r="T241" s="73"/>
      <c r="U241" s="33">
        <f t="shared" ref="U241" si="400">U173</f>
        <v>6261.4000000000005</v>
      </c>
      <c r="V241" s="73"/>
      <c r="W241" s="33">
        <f t="shared" ref="W241" si="401">W173</f>
        <v>0</v>
      </c>
    </row>
    <row r="242" spans="1:23" ht="14.4" customHeight="1" x14ac:dyDescent="0.3">
      <c r="A242" s="31" t="str">
        <f>A179</f>
        <v>03.02.03.</v>
      </c>
      <c r="B242" s="31"/>
      <c r="C242" s="31" t="str">
        <f>C179</f>
        <v>Trockenbauarbeiten - GK-Deckenschürze</v>
      </c>
      <c r="D242" s="59"/>
      <c r="E242" s="60"/>
      <c r="F242" s="73"/>
      <c r="G242" s="33">
        <f t="shared" ref="G242" si="402">G179</f>
        <v>750.85</v>
      </c>
      <c r="H242" s="73"/>
      <c r="I242" s="33">
        <f>I179</f>
        <v>604.04999999999995</v>
      </c>
      <c r="J242" s="73"/>
      <c r="K242" s="33">
        <f>K179</f>
        <v>591.96899999999994</v>
      </c>
      <c r="L242" s="73"/>
      <c r="M242" s="33">
        <f>M179</f>
        <v>604.04999999999995</v>
      </c>
      <c r="N242" s="73"/>
      <c r="O242" s="33">
        <f t="shared" ref="O242" si="403">O179</f>
        <v>750.85</v>
      </c>
      <c r="P242" s="73"/>
      <c r="Q242" s="33">
        <f t="shared" ref="Q242" si="404">Q179</f>
        <v>250.70000000000002</v>
      </c>
      <c r="R242" s="73"/>
      <c r="S242" s="33">
        <f t="shared" ref="S242" si="405">S179</f>
        <v>851.77</v>
      </c>
      <c r="T242" s="73"/>
      <c r="U242" s="33">
        <f t="shared" ref="U242" si="406">U179</f>
        <v>1354.47</v>
      </c>
      <c r="V242" s="73"/>
      <c r="W242" s="33">
        <f t="shared" ref="W242" si="407">W179</f>
        <v>0</v>
      </c>
    </row>
    <row r="243" spans="1:23" ht="14.4" customHeight="1" x14ac:dyDescent="0.3">
      <c r="A243" s="44" t="str">
        <f>A126</f>
        <v>03.</v>
      </c>
      <c r="B243" s="44"/>
      <c r="C243" s="44" t="str">
        <f>C126</f>
        <v>Mietbereich Kone 1.OG</v>
      </c>
      <c r="D243" s="59"/>
      <c r="E243" s="60"/>
      <c r="F243" s="73">
        <f t="shared" ref="F243" si="408">SUM(G239:G242)</f>
        <v>24710.85</v>
      </c>
      <c r="G243" s="33"/>
      <c r="H243" s="73">
        <f>SUM(I239:I242)</f>
        <v>21911.05</v>
      </c>
      <c r="I243" s="33"/>
      <c r="J243" s="73">
        <f>SUM(K239:K242)</f>
        <v>21472.829000000002</v>
      </c>
      <c r="K243" s="33"/>
      <c r="L243" s="73">
        <f>SUM(M239:M242)</f>
        <v>22391.05</v>
      </c>
      <c r="M243" s="33"/>
      <c r="N243" s="73">
        <f t="shared" ref="N243" si="409">SUM(O239:O242)</f>
        <v>24710.85</v>
      </c>
      <c r="O243" s="33"/>
      <c r="P243" s="73">
        <f t="shared" ref="P243" si="410">SUM(Q239:Q242)</f>
        <v>27785.15</v>
      </c>
      <c r="Q243" s="33"/>
      <c r="R243" s="73">
        <f t="shared" ref="R243" si="411">SUM(S239:S242)</f>
        <v>31733.27</v>
      </c>
      <c r="S243" s="33"/>
      <c r="T243" s="73">
        <f t="shared" ref="T243" si="412">SUM(U239:U242)</f>
        <v>28467.27</v>
      </c>
      <c r="U243" s="33"/>
      <c r="V243" s="73">
        <f t="shared" ref="V243" si="413">SUM(W239:W242)</f>
        <v>0</v>
      </c>
      <c r="W243" s="33"/>
    </row>
    <row r="244" spans="1:23" ht="14.4" customHeight="1" x14ac:dyDescent="0.3">
      <c r="A244" s="31" t="str">
        <f>A204</f>
        <v>04.01.</v>
      </c>
      <c r="B244" s="31"/>
      <c r="C244" s="31" t="str">
        <f>C204</f>
        <v>Trockenbauarbeiten - Wände</v>
      </c>
      <c r="D244" s="59"/>
      <c r="E244" s="60"/>
      <c r="F244" s="73"/>
      <c r="G244" s="33">
        <f t="shared" ref="G244" si="414">G204</f>
        <v>14796.5</v>
      </c>
      <c r="H244" s="73"/>
      <c r="I244" s="33">
        <f>I204</f>
        <v>13531</v>
      </c>
      <c r="J244" s="73"/>
      <c r="K244" s="33">
        <f>K204</f>
        <v>13260.380000000001</v>
      </c>
      <c r="L244" s="73"/>
      <c r="M244" s="33">
        <f>M204</f>
        <v>13208</v>
      </c>
      <c r="N244" s="73"/>
      <c r="O244" s="33">
        <f t="shared" ref="O244" si="415">O204</f>
        <v>14796.5</v>
      </c>
      <c r="P244" s="73"/>
      <c r="Q244" s="33">
        <f t="shared" ref="Q244" si="416">Q204</f>
        <v>15482.1</v>
      </c>
      <c r="R244" s="73"/>
      <c r="S244" s="33">
        <f t="shared" ref="S244" si="417">S204</f>
        <v>12947.7</v>
      </c>
      <c r="T244" s="73"/>
      <c r="U244" s="33">
        <f t="shared" ref="U244" si="418">U204</f>
        <v>19620.5</v>
      </c>
      <c r="V244" s="73"/>
      <c r="W244" s="33">
        <f t="shared" ref="W244" si="419">W204</f>
        <v>0</v>
      </c>
    </row>
    <row r="245" spans="1:23" ht="14.4" customHeight="1" x14ac:dyDescent="0.3">
      <c r="A245" s="31" t="str">
        <f>A219</f>
        <v>04.02.01.</v>
      </c>
      <c r="B245" s="31"/>
      <c r="C245" s="31" t="str">
        <f>C219</f>
        <v>Trockenbauarbeiten - GK-Decke</v>
      </c>
      <c r="D245" s="59"/>
      <c r="E245" s="60"/>
      <c r="F245" s="73"/>
      <c r="G245" s="33">
        <f t="shared" ref="G245" si="420">G219</f>
        <v>2057</v>
      </c>
      <c r="H245" s="73"/>
      <c r="I245" s="33">
        <f>I219</f>
        <v>2752</v>
      </c>
      <c r="J245" s="73"/>
      <c r="K245" s="33">
        <f>K219</f>
        <v>2696.96</v>
      </c>
      <c r="L245" s="73"/>
      <c r="M245" s="33">
        <f>M219</f>
        <v>2868.5</v>
      </c>
      <c r="N245" s="73"/>
      <c r="O245" s="33">
        <f t="shared" ref="O245" si="421">O219</f>
        <v>2057</v>
      </c>
      <c r="P245" s="73"/>
      <c r="Q245" s="33">
        <f t="shared" ref="Q245" si="422">Q219</f>
        <v>3034.7</v>
      </c>
      <c r="R245" s="73"/>
      <c r="S245" s="33">
        <f t="shared" ref="S245" si="423">S219</f>
        <v>2411</v>
      </c>
      <c r="T245" s="73"/>
      <c r="U245" s="33">
        <f t="shared" ref="U245" si="424">U219</f>
        <v>2655.2</v>
      </c>
      <c r="V245" s="73"/>
      <c r="W245" s="33">
        <f t="shared" ref="W245" si="425">W219</f>
        <v>0</v>
      </c>
    </row>
    <row r="246" spans="1:23" ht="14.4" customHeight="1" x14ac:dyDescent="0.3">
      <c r="A246" s="31" t="str">
        <f>A226</f>
        <v>04.02.02.</v>
      </c>
      <c r="B246" s="31"/>
      <c r="C246" s="31" t="str">
        <f>C226</f>
        <v>Trockenbauarbeiten - Akustikdecke</v>
      </c>
      <c r="D246" s="59"/>
      <c r="E246" s="60"/>
      <c r="F246" s="73"/>
      <c r="G246" s="33">
        <f t="shared" ref="G246" si="426">G226</f>
        <v>13960</v>
      </c>
      <c r="H246" s="73"/>
      <c r="I246" s="33">
        <f>I226</f>
        <v>11559</v>
      </c>
      <c r="J246" s="73"/>
      <c r="K246" s="33">
        <f>K226</f>
        <v>11327.82</v>
      </c>
      <c r="L246" s="73"/>
      <c r="M246" s="33">
        <f>M226</f>
        <v>12481</v>
      </c>
      <c r="N246" s="73"/>
      <c r="O246" s="33">
        <f t="shared" ref="O246" si="427">O226</f>
        <v>13960</v>
      </c>
      <c r="P246" s="73"/>
      <c r="Q246" s="33">
        <f t="shared" ref="Q246" si="428">Q226</f>
        <v>16579</v>
      </c>
      <c r="R246" s="73"/>
      <c r="S246" s="33">
        <f t="shared" ref="S246" si="429">S226</f>
        <v>20444</v>
      </c>
      <c r="T246" s="73"/>
      <c r="U246" s="33">
        <f t="shared" ref="U246" si="430">U226</f>
        <v>14963.3</v>
      </c>
      <c r="V246" s="73"/>
      <c r="W246" s="33">
        <f t="shared" ref="W246" si="431">W226</f>
        <v>0</v>
      </c>
    </row>
    <row r="247" spans="1:23" ht="14.4" customHeight="1" x14ac:dyDescent="0.3">
      <c r="A247" s="44" t="str">
        <f>A181</f>
        <v>04.</v>
      </c>
      <c r="B247" s="44"/>
      <c r="C247" s="44" t="str">
        <f>C181</f>
        <v>Musterbüro 5.OG</v>
      </c>
      <c r="D247" s="59"/>
      <c r="E247" s="60"/>
      <c r="F247" s="73">
        <f t="shared" ref="F247" si="432">SUM(G244:G246)</f>
        <v>30813.5</v>
      </c>
      <c r="G247" s="33"/>
      <c r="H247" s="73">
        <f>SUM(I244:I246)</f>
        <v>27842</v>
      </c>
      <c r="I247" s="33"/>
      <c r="J247" s="73">
        <f>SUM(K244:K246)</f>
        <v>27285.16</v>
      </c>
      <c r="K247" s="33"/>
      <c r="L247" s="73">
        <f>SUM(M244:M246)</f>
        <v>28557.5</v>
      </c>
      <c r="M247" s="33"/>
      <c r="N247" s="73">
        <f t="shared" ref="N247" si="433">SUM(O244:O246)</f>
        <v>30813.5</v>
      </c>
      <c r="O247" s="33"/>
      <c r="P247" s="73">
        <f t="shared" ref="P247" si="434">SUM(Q244:Q246)</f>
        <v>35095.800000000003</v>
      </c>
      <c r="Q247" s="33"/>
      <c r="R247" s="73">
        <f t="shared" ref="R247" si="435">SUM(S244:S246)</f>
        <v>35802.699999999997</v>
      </c>
      <c r="S247" s="33"/>
      <c r="T247" s="73">
        <f t="shared" ref="T247" si="436">SUM(U244:U246)</f>
        <v>37239</v>
      </c>
      <c r="U247" s="33"/>
      <c r="V247" s="73">
        <f t="shared" ref="V247" si="437">SUM(W244:W246)</f>
        <v>0</v>
      </c>
      <c r="W247" s="33"/>
    </row>
    <row r="248" spans="1:23" ht="14.4" customHeight="1" x14ac:dyDescent="0.3">
      <c r="A248" s="31"/>
      <c r="B248" s="31"/>
      <c r="C248" s="31"/>
      <c r="D248" s="59"/>
      <c r="E248" s="60"/>
      <c r="F248" s="73"/>
      <c r="G248" s="33"/>
      <c r="H248" s="73"/>
      <c r="I248" s="33"/>
      <c r="J248" s="73"/>
      <c r="K248" s="33"/>
      <c r="L248" s="73"/>
      <c r="M248" s="33"/>
      <c r="N248" s="73"/>
      <c r="O248" s="33"/>
      <c r="P248" s="73"/>
      <c r="Q248" s="33"/>
      <c r="R248" s="73"/>
      <c r="S248" s="33"/>
      <c r="T248" s="73"/>
      <c r="U248" s="33"/>
      <c r="V248" s="73"/>
      <c r="W248" s="33"/>
    </row>
    <row r="249" spans="1:23" ht="14.4" customHeight="1" x14ac:dyDescent="0.3">
      <c r="A249" s="31"/>
      <c r="B249" s="31"/>
      <c r="C249" s="95" t="s">
        <v>304</v>
      </c>
      <c r="D249" s="96"/>
      <c r="E249" s="97"/>
      <c r="F249" s="98"/>
      <c r="G249" s="99"/>
      <c r="H249" s="98"/>
      <c r="I249" s="99"/>
      <c r="J249" s="73"/>
      <c r="K249" s="33"/>
      <c r="L249" s="73"/>
      <c r="M249" s="33"/>
      <c r="N249" s="73"/>
      <c r="O249" s="33"/>
      <c r="P249" s="73"/>
      <c r="Q249" s="33"/>
      <c r="R249" s="73"/>
      <c r="S249" s="33"/>
      <c r="T249" s="73"/>
      <c r="U249" s="33"/>
      <c r="V249" s="73"/>
      <c r="W249" s="33"/>
    </row>
    <row r="250" spans="1:23" ht="14.4" customHeight="1" x14ac:dyDescent="0.3">
      <c r="A250" s="31"/>
      <c r="B250" s="31"/>
      <c r="C250" s="95" t="s">
        <v>305</v>
      </c>
      <c r="D250" s="96">
        <v>1</v>
      </c>
      <c r="E250" s="100" t="s">
        <v>306</v>
      </c>
      <c r="F250" s="98"/>
      <c r="G250" s="99"/>
      <c r="H250" s="98"/>
      <c r="I250" s="99">
        <v>3000</v>
      </c>
      <c r="J250" s="73"/>
      <c r="K250" s="33"/>
      <c r="L250" s="73"/>
      <c r="M250" s="33"/>
      <c r="N250" s="73"/>
      <c r="O250" s="33"/>
      <c r="P250" s="73"/>
      <c r="Q250" s="33"/>
      <c r="R250" s="73"/>
      <c r="S250" s="33"/>
      <c r="T250" s="73"/>
      <c r="U250" s="33"/>
      <c r="V250" s="73"/>
      <c r="W250" s="33"/>
    </row>
    <row r="251" spans="1:23" ht="14.4" customHeight="1" thickBot="1" x14ac:dyDescent="0.35">
      <c r="A251" s="31"/>
      <c r="B251" s="31"/>
      <c r="C251" s="31"/>
      <c r="D251" s="59"/>
      <c r="E251" s="60"/>
      <c r="F251" s="73"/>
      <c r="G251" s="33"/>
      <c r="H251" s="73"/>
      <c r="I251" s="33"/>
      <c r="J251" s="73"/>
      <c r="K251" s="33"/>
      <c r="L251" s="73"/>
      <c r="M251" s="33"/>
      <c r="N251" s="73"/>
      <c r="O251" s="33"/>
      <c r="P251" s="73"/>
      <c r="Q251" s="33"/>
      <c r="R251" s="73"/>
      <c r="S251" s="33"/>
      <c r="T251" s="73"/>
      <c r="U251" s="33"/>
      <c r="V251" s="73"/>
      <c r="W251" s="33"/>
    </row>
    <row r="252" spans="1:23" ht="14.4" customHeight="1" x14ac:dyDescent="0.25">
      <c r="A252" s="45">
        <v>100</v>
      </c>
      <c r="B252" s="46"/>
      <c r="C252" s="46" t="s">
        <v>281</v>
      </c>
      <c r="D252" s="65"/>
      <c r="E252" s="66"/>
      <c r="F252" s="47"/>
      <c r="G252" s="48">
        <f>SUM(G229:G246)</f>
        <v>276473.25</v>
      </c>
      <c r="H252" s="47"/>
      <c r="I252" s="48">
        <f>SUM(I229:I246)+I250</f>
        <v>252419.59999999998</v>
      </c>
      <c r="J252" s="47"/>
      <c r="K252" s="48">
        <f>SUM(K229:K246)</f>
        <v>244431.20800000004</v>
      </c>
      <c r="L252" s="47"/>
      <c r="M252" s="48">
        <f>SUM(M229:M246)</f>
        <v>255950.64999999997</v>
      </c>
      <c r="N252" s="47"/>
      <c r="O252" s="48">
        <f>SUM(O229:O246)</f>
        <v>276473.25</v>
      </c>
      <c r="P252" s="47"/>
      <c r="Q252" s="48">
        <f>SUM(Q229:Q246)</f>
        <v>315976.05000000005</v>
      </c>
      <c r="R252" s="47"/>
      <c r="S252" s="48">
        <f>SUM(S229:S246)</f>
        <v>327712.76000000007</v>
      </c>
      <c r="T252" s="47"/>
      <c r="U252" s="48">
        <f>SUM(U229:U246)</f>
        <v>332987.30999999994</v>
      </c>
      <c r="V252" s="47"/>
      <c r="W252" s="48">
        <f>SUM(W229:W246)</f>
        <v>0</v>
      </c>
    </row>
    <row r="253" spans="1:23" ht="14.4" customHeight="1" x14ac:dyDescent="0.25">
      <c r="A253" s="49">
        <v>100</v>
      </c>
      <c r="B253" s="50"/>
      <c r="C253" s="50" t="s">
        <v>282</v>
      </c>
      <c r="D253" s="67"/>
      <c r="E253" s="68"/>
      <c r="F253" s="51">
        <v>0</v>
      </c>
      <c r="G253" s="52">
        <f>-F253*G252</f>
        <v>0</v>
      </c>
      <c r="H253" s="51">
        <v>0.02</v>
      </c>
      <c r="I253" s="52">
        <f>-H253*I252</f>
        <v>-5048.3919999999998</v>
      </c>
      <c r="J253" s="84" t="s">
        <v>300</v>
      </c>
      <c r="K253" s="85"/>
      <c r="L253" s="51">
        <v>0.02</v>
      </c>
      <c r="M253" s="52">
        <f>-L253*M252</f>
        <v>-5119.012999999999</v>
      </c>
      <c r="N253" s="51">
        <v>0</v>
      </c>
      <c r="O253" s="52">
        <f>-N253*O252</f>
        <v>0</v>
      </c>
      <c r="P253" s="51">
        <v>0</v>
      </c>
      <c r="Q253" s="52">
        <f>-P253*Q252</f>
        <v>0</v>
      </c>
      <c r="R253" s="51">
        <v>0</v>
      </c>
      <c r="S253" s="52">
        <f>-R253*S252</f>
        <v>0</v>
      </c>
      <c r="T253" s="51">
        <v>0</v>
      </c>
      <c r="U253" s="52">
        <f>-T253*U252</f>
        <v>0</v>
      </c>
      <c r="V253" s="51">
        <v>0</v>
      </c>
      <c r="W253" s="52">
        <f>-V253*W252</f>
        <v>0</v>
      </c>
    </row>
    <row r="254" spans="1:23" ht="14.4" customHeight="1" thickBot="1" x14ac:dyDescent="0.3">
      <c r="A254" s="53">
        <v>100</v>
      </c>
      <c r="B254" s="54"/>
      <c r="C254" s="54" t="s">
        <v>283</v>
      </c>
      <c r="D254" s="69"/>
      <c r="E254" s="70"/>
      <c r="F254" s="55"/>
      <c r="G254" s="56">
        <f>SUM(G252:G253)</f>
        <v>276473.25</v>
      </c>
      <c r="H254" s="55"/>
      <c r="I254" s="56">
        <f>SUM(I252:I253)</f>
        <v>247371.20799999998</v>
      </c>
      <c r="J254" s="55"/>
      <c r="K254" s="56">
        <f>SUM(K252:K253)</f>
        <v>244431.20800000004</v>
      </c>
      <c r="L254" s="55"/>
      <c r="M254" s="56">
        <f>SUM(M252:M253)</f>
        <v>250831.63699999996</v>
      </c>
      <c r="N254" s="55"/>
      <c r="O254" s="56">
        <f>SUM(O252:O253)</f>
        <v>276473.25</v>
      </c>
      <c r="P254" s="55"/>
      <c r="Q254" s="56">
        <f>SUM(Q252:Q253)</f>
        <v>315976.05000000005</v>
      </c>
      <c r="R254" s="55"/>
      <c r="S254" s="56">
        <f>SUM(S252:S253)</f>
        <v>327712.76000000007</v>
      </c>
      <c r="T254" s="55"/>
      <c r="U254" s="56">
        <f>SUM(U252:U253)</f>
        <v>332987.30999999994</v>
      </c>
      <c r="V254" s="55"/>
      <c r="W254" s="56">
        <f>SUM(W252:W253)</f>
        <v>0</v>
      </c>
    </row>
    <row r="255" spans="1:23" ht="14.4" customHeight="1" x14ac:dyDescent="0.25"/>
    <row r="256" spans="1:23" ht="14.4" customHeight="1" x14ac:dyDescent="0.25">
      <c r="C256" s="90" t="s">
        <v>302</v>
      </c>
    </row>
    <row r="257" spans="3:3" ht="14.4" customHeight="1" x14ac:dyDescent="0.25">
      <c r="C257" s="90" t="s">
        <v>303</v>
      </c>
    </row>
    <row r="258" spans="3:3" ht="14.4" customHeight="1" x14ac:dyDescent="0.25">
      <c r="C258" s="58"/>
    </row>
    <row r="259" spans="3:3" ht="14.4" customHeight="1" x14ac:dyDescent="0.25"/>
  </sheetData>
  <conditionalFormatting sqref="H13:U37 H40:U52 H55:U59 H62:U65 H69:U95 H98:U110 H113:U117 H120:U123 H127:U150 H153:U165 H168:U172 H175:U178 H182:U203 H206:U218 H221:U225">
    <cfRule type="cellIs" dxfId="0" priority="1" operator="equal">
      <formula>SMALL($F13:$U13,1)</formula>
    </cfRule>
  </conditionalFormatting>
  <printOptions gridLines="1"/>
  <pageMargins left="0.70866141732283472" right="0.23622047244094491" top="0.6692913385826772" bottom="0.67" header="0.15748031496062992" footer="0.19685039370078741"/>
  <pageSetup paperSize="9" scale="58" fitToHeight="3" orientation="portrait" r:id="rId1"/>
  <headerFooter>
    <oddHeader xml:space="preserve">&amp;L&amp;"Arial,Fett"&amp;14&amp;U&amp;K09+000Anlage 8.1 zum VP vom 22.11.2024
Ergänzung vom 27.11.2024&amp;RSeite &amp;P von&amp;N </oddHeader>
    <oddFooter>&amp;L&amp;Z&amp;F, Ausdruck vom &amp;D&amp;RSeite &amp;P von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Tabelle1!Druckbereich</vt:lpstr>
      <vt:lpstr>Tabelle1!Drucktitel</vt:lpstr>
    </vt:vector>
  </TitlesOfParts>
  <Company>Adolf Lupp GmbH und Co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Neuber, Gerlinde</dc:creator>
  <cp:lastModifiedBy>Osterloh, Karola</cp:lastModifiedBy>
  <cp:lastPrinted>2024-11-27T13:56:24Z</cp:lastPrinted>
  <dcterms:created xsi:type="dcterms:W3CDTF">2024-11-12T11:29:10Z</dcterms:created>
  <dcterms:modified xsi:type="dcterms:W3CDTF">2024-11-27T14:07:10Z</dcterms:modified>
</cp:coreProperties>
</file>