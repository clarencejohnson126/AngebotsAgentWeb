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T:\20006551 Offenbach, LEIQ_Ausbau\4_01 NU - Mieterausbau BTB\Trockenbau_\4_01_02_NU-Vertrag\Preisspiegel\"/>
    </mc:Choice>
  </mc:AlternateContent>
  <xr:revisionPtr revIDLastSave="0" documentId="13_ncr:1_{8D7D60BE-AFDD-4FE5-B435-CA039BDBE714}" xr6:coauthVersionLast="47" xr6:coauthVersionMax="47" xr10:uidLastSave="{00000000-0000-0000-0000-000000000000}"/>
  <bookViews>
    <workbookView xWindow="-108" yWindow="-108" windowWidth="30936" windowHeight="16776" xr2:uid="{AE44FFD4-CF0F-4B40-A471-384F1D0DCA66}"/>
  </bookViews>
  <sheets>
    <sheet name="Tabelle1" sheetId="1" r:id="rId1"/>
  </sheets>
  <definedNames>
    <definedName name="_xlnm.Print_Area" localSheetId="0">Tabelle1!$A$1:$S$250</definedName>
    <definedName name="_xlnm.Print_Titles" localSheetId="0">Tabelle1!$1:$9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4" i="1" l="1"/>
  <c r="H223" i="1"/>
  <c r="H222" i="1"/>
  <c r="H221" i="1"/>
  <c r="H220" i="1"/>
  <c r="H217" i="1"/>
  <c r="H216" i="1"/>
  <c r="H215" i="1"/>
  <c r="I215" i="1" s="1"/>
  <c r="H214" i="1"/>
  <c r="H213" i="1"/>
  <c r="H212" i="1"/>
  <c r="H211" i="1"/>
  <c r="H210" i="1"/>
  <c r="H209" i="1"/>
  <c r="H208" i="1"/>
  <c r="H207" i="1"/>
  <c r="H206" i="1"/>
  <c r="H205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I185" i="1" s="1"/>
  <c r="H184" i="1"/>
  <c r="H183" i="1"/>
  <c r="H182" i="1"/>
  <c r="H181" i="1"/>
  <c r="H177" i="1"/>
  <c r="H176" i="1"/>
  <c r="H175" i="1"/>
  <c r="H174" i="1"/>
  <c r="H171" i="1"/>
  <c r="I171" i="1" s="1"/>
  <c r="H170" i="1"/>
  <c r="H169" i="1"/>
  <c r="H168" i="1"/>
  <c r="H167" i="1"/>
  <c r="H164" i="1"/>
  <c r="H163" i="1"/>
  <c r="H162" i="1"/>
  <c r="H161" i="1"/>
  <c r="H160" i="1"/>
  <c r="H159" i="1"/>
  <c r="H158" i="1"/>
  <c r="I158" i="1" s="1"/>
  <c r="H157" i="1"/>
  <c r="I157" i="1" s="1"/>
  <c r="H156" i="1"/>
  <c r="H155" i="1"/>
  <c r="H154" i="1"/>
  <c r="H153" i="1"/>
  <c r="H152" i="1"/>
  <c r="H149" i="1"/>
  <c r="H148" i="1"/>
  <c r="H147" i="1"/>
  <c r="H146" i="1"/>
  <c r="H145" i="1"/>
  <c r="H144" i="1"/>
  <c r="H143" i="1"/>
  <c r="H142" i="1"/>
  <c r="H141" i="1"/>
  <c r="H140" i="1"/>
  <c r="I140" i="1" s="1"/>
  <c r="H139" i="1"/>
  <c r="I139" i="1" s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I126" i="1" s="1"/>
  <c r="H122" i="1"/>
  <c r="H121" i="1"/>
  <c r="H120" i="1"/>
  <c r="H119" i="1"/>
  <c r="H116" i="1"/>
  <c r="H115" i="1"/>
  <c r="H114" i="1"/>
  <c r="H113" i="1"/>
  <c r="H112" i="1"/>
  <c r="H109" i="1"/>
  <c r="H108" i="1"/>
  <c r="H107" i="1"/>
  <c r="H106" i="1"/>
  <c r="H105" i="1"/>
  <c r="H104" i="1"/>
  <c r="I104" i="1" s="1"/>
  <c r="H103" i="1"/>
  <c r="H102" i="1"/>
  <c r="I102" i="1" s="1"/>
  <c r="H101" i="1"/>
  <c r="H100" i="1"/>
  <c r="H99" i="1"/>
  <c r="H98" i="1"/>
  <c r="H97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I81" i="1" s="1"/>
  <c r="H80" i="1"/>
  <c r="H79" i="1"/>
  <c r="H78" i="1"/>
  <c r="H77" i="1"/>
  <c r="H76" i="1"/>
  <c r="H75" i="1"/>
  <c r="H74" i="1"/>
  <c r="H73" i="1"/>
  <c r="I73" i="1" s="1"/>
  <c r="H72" i="1"/>
  <c r="H71" i="1"/>
  <c r="H70" i="1"/>
  <c r="I70" i="1" s="1"/>
  <c r="H69" i="1"/>
  <c r="H68" i="1"/>
  <c r="H64" i="1"/>
  <c r="H63" i="1"/>
  <c r="H62" i="1"/>
  <c r="H61" i="1"/>
  <c r="H58" i="1"/>
  <c r="H57" i="1"/>
  <c r="H56" i="1"/>
  <c r="H55" i="1"/>
  <c r="H54" i="1"/>
  <c r="H51" i="1"/>
  <c r="H50" i="1"/>
  <c r="H49" i="1"/>
  <c r="I49" i="1" s="1"/>
  <c r="H48" i="1"/>
  <c r="H47" i="1"/>
  <c r="H46" i="1"/>
  <c r="H45" i="1"/>
  <c r="H44" i="1"/>
  <c r="H43" i="1"/>
  <c r="H42" i="1"/>
  <c r="H41" i="1"/>
  <c r="H40" i="1"/>
  <c r="H39" i="1"/>
  <c r="H13" i="1"/>
  <c r="H14" i="1"/>
  <c r="H15" i="1"/>
  <c r="H16" i="1"/>
  <c r="H17" i="1"/>
  <c r="H18" i="1"/>
  <c r="H19" i="1"/>
  <c r="H20" i="1"/>
  <c r="H21" i="1"/>
  <c r="H22" i="1"/>
  <c r="I22" i="1" s="1"/>
  <c r="H23" i="1"/>
  <c r="I23" i="1" s="1"/>
  <c r="H24" i="1"/>
  <c r="H25" i="1"/>
  <c r="H26" i="1"/>
  <c r="H27" i="1"/>
  <c r="I27" i="1" s="1"/>
  <c r="H28" i="1"/>
  <c r="H29" i="1"/>
  <c r="H30" i="1"/>
  <c r="H31" i="1"/>
  <c r="H32" i="1"/>
  <c r="H33" i="1"/>
  <c r="H34" i="1"/>
  <c r="H35" i="1"/>
  <c r="H36" i="1"/>
  <c r="H12" i="1"/>
  <c r="I12" i="1" s="1"/>
  <c r="I13" i="1"/>
  <c r="I14" i="1"/>
  <c r="F224" i="1"/>
  <c r="F223" i="1"/>
  <c r="F222" i="1"/>
  <c r="F221" i="1"/>
  <c r="F220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G189" i="1" s="1"/>
  <c r="F188" i="1"/>
  <c r="F187" i="1"/>
  <c r="F186" i="1"/>
  <c r="F185" i="1"/>
  <c r="F184" i="1"/>
  <c r="F183" i="1"/>
  <c r="F182" i="1"/>
  <c r="F181" i="1"/>
  <c r="F177" i="1"/>
  <c r="F176" i="1"/>
  <c r="G176" i="1" s="1"/>
  <c r="F175" i="1"/>
  <c r="F174" i="1"/>
  <c r="F171" i="1"/>
  <c r="F170" i="1"/>
  <c r="F169" i="1"/>
  <c r="F168" i="1"/>
  <c r="F167" i="1"/>
  <c r="F164" i="1"/>
  <c r="F163" i="1"/>
  <c r="F162" i="1"/>
  <c r="F161" i="1"/>
  <c r="F160" i="1"/>
  <c r="G160" i="1" s="1"/>
  <c r="F159" i="1"/>
  <c r="G159" i="1" s="1"/>
  <c r="F158" i="1"/>
  <c r="F157" i="1"/>
  <c r="F156" i="1"/>
  <c r="F155" i="1"/>
  <c r="F154" i="1"/>
  <c r="F153" i="1"/>
  <c r="F152" i="1"/>
  <c r="G152" i="1" s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G136" i="1" s="1"/>
  <c r="F135" i="1"/>
  <c r="F134" i="1"/>
  <c r="F133" i="1"/>
  <c r="F132" i="1"/>
  <c r="F131" i="1"/>
  <c r="F130" i="1"/>
  <c r="F129" i="1"/>
  <c r="F128" i="1"/>
  <c r="F127" i="1"/>
  <c r="F126" i="1"/>
  <c r="G126" i="1" s="1"/>
  <c r="F122" i="1"/>
  <c r="F121" i="1"/>
  <c r="F120" i="1"/>
  <c r="F119" i="1"/>
  <c r="F116" i="1"/>
  <c r="F115" i="1"/>
  <c r="F114" i="1"/>
  <c r="F113" i="1"/>
  <c r="G113" i="1" s="1"/>
  <c r="F112" i="1"/>
  <c r="F109" i="1"/>
  <c r="F108" i="1"/>
  <c r="F107" i="1"/>
  <c r="F106" i="1"/>
  <c r="F105" i="1"/>
  <c r="F104" i="1"/>
  <c r="G104" i="1" s="1"/>
  <c r="F103" i="1"/>
  <c r="F102" i="1"/>
  <c r="G102" i="1" s="1"/>
  <c r="F101" i="1"/>
  <c r="F100" i="1"/>
  <c r="F99" i="1"/>
  <c r="F98" i="1"/>
  <c r="F97" i="1"/>
  <c r="F94" i="1"/>
  <c r="F93" i="1"/>
  <c r="F92" i="1"/>
  <c r="F91" i="1"/>
  <c r="F90" i="1"/>
  <c r="F89" i="1"/>
  <c r="F88" i="1"/>
  <c r="F87" i="1"/>
  <c r="F86" i="1"/>
  <c r="F85" i="1"/>
  <c r="G85" i="1" s="1"/>
  <c r="F84" i="1"/>
  <c r="F83" i="1"/>
  <c r="F82" i="1"/>
  <c r="F81" i="1"/>
  <c r="F80" i="1"/>
  <c r="F79" i="1"/>
  <c r="F78" i="1"/>
  <c r="F77" i="1"/>
  <c r="F76" i="1"/>
  <c r="G76" i="1" s="1"/>
  <c r="F75" i="1"/>
  <c r="F74" i="1"/>
  <c r="F73" i="1"/>
  <c r="F72" i="1"/>
  <c r="F71" i="1"/>
  <c r="G71" i="1" s="1"/>
  <c r="F70" i="1"/>
  <c r="F69" i="1"/>
  <c r="F68" i="1"/>
  <c r="G68" i="1" s="1"/>
  <c r="F64" i="1"/>
  <c r="G64" i="1" s="1"/>
  <c r="F63" i="1"/>
  <c r="F62" i="1"/>
  <c r="F61" i="1"/>
  <c r="F58" i="1"/>
  <c r="F57" i="1"/>
  <c r="F56" i="1"/>
  <c r="F55" i="1"/>
  <c r="F54" i="1"/>
  <c r="F51" i="1"/>
  <c r="F50" i="1"/>
  <c r="F49" i="1"/>
  <c r="F48" i="1"/>
  <c r="F47" i="1"/>
  <c r="F46" i="1"/>
  <c r="F45" i="1"/>
  <c r="G45" i="1" s="1"/>
  <c r="F44" i="1"/>
  <c r="G44" i="1" s="1"/>
  <c r="F43" i="1"/>
  <c r="F42" i="1"/>
  <c r="F41" i="1"/>
  <c r="F40" i="1"/>
  <c r="F39" i="1"/>
  <c r="F13" i="1"/>
  <c r="F14" i="1"/>
  <c r="G14" i="1" s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12" i="1"/>
  <c r="M224" i="1"/>
  <c r="K224" i="1"/>
  <c r="M223" i="1"/>
  <c r="K223" i="1"/>
  <c r="M222" i="1"/>
  <c r="K222" i="1"/>
  <c r="M221" i="1"/>
  <c r="K221" i="1"/>
  <c r="M220" i="1"/>
  <c r="K220" i="1"/>
  <c r="M215" i="1"/>
  <c r="K215" i="1"/>
  <c r="M214" i="1"/>
  <c r="K214" i="1"/>
  <c r="M213" i="1"/>
  <c r="K213" i="1"/>
  <c r="M212" i="1"/>
  <c r="K212" i="1"/>
  <c r="M211" i="1"/>
  <c r="K211" i="1"/>
  <c r="M210" i="1"/>
  <c r="K210" i="1"/>
  <c r="M205" i="1"/>
  <c r="K205" i="1"/>
  <c r="M202" i="1"/>
  <c r="K202" i="1"/>
  <c r="M191" i="1"/>
  <c r="K191" i="1"/>
  <c r="M189" i="1"/>
  <c r="K189" i="1"/>
  <c r="M185" i="1"/>
  <c r="K185" i="1"/>
  <c r="K203" i="1" s="1"/>
  <c r="K243" i="1" s="1"/>
  <c r="M182" i="1"/>
  <c r="K182" i="1"/>
  <c r="M181" i="1"/>
  <c r="K181" i="1"/>
  <c r="M177" i="1"/>
  <c r="K177" i="1"/>
  <c r="M176" i="1"/>
  <c r="K176" i="1"/>
  <c r="M174" i="1"/>
  <c r="K174" i="1"/>
  <c r="M171" i="1"/>
  <c r="K171" i="1"/>
  <c r="M170" i="1"/>
  <c r="K170" i="1"/>
  <c r="M169" i="1"/>
  <c r="K169" i="1"/>
  <c r="M168" i="1"/>
  <c r="K168" i="1"/>
  <c r="M167" i="1"/>
  <c r="K167" i="1"/>
  <c r="M162" i="1"/>
  <c r="K162" i="1"/>
  <c r="M161" i="1"/>
  <c r="K161" i="1"/>
  <c r="M160" i="1"/>
  <c r="K160" i="1"/>
  <c r="M159" i="1"/>
  <c r="K159" i="1"/>
  <c r="M158" i="1"/>
  <c r="K158" i="1"/>
  <c r="M157" i="1"/>
  <c r="K157" i="1"/>
  <c r="M152" i="1"/>
  <c r="K152" i="1"/>
  <c r="M140" i="1"/>
  <c r="K140" i="1"/>
  <c r="M139" i="1"/>
  <c r="K139" i="1"/>
  <c r="M137" i="1"/>
  <c r="K137" i="1"/>
  <c r="M136" i="1"/>
  <c r="K136" i="1"/>
  <c r="M135" i="1"/>
  <c r="K135" i="1"/>
  <c r="M126" i="1"/>
  <c r="K126" i="1"/>
  <c r="K123" i="1"/>
  <c r="K236" i="1" s="1"/>
  <c r="M122" i="1"/>
  <c r="K122" i="1"/>
  <c r="M121" i="1"/>
  <c r="K121" i="1"/>
  <c r="M119" i="1"/>
  <c r="K119" i="1"/>
  <c r="M116" i="1"/>
  <c r="K116" i="1"/>
  <c r="M115" i="1"/>
  <c r="K115" i="1"/>
  <c r="M114" i="1"/>
  <c r="K114" i="1"/>
  <c r="M113" i="1"/>
  <c r="K113" i="1"/>
  <c r="M112" i="1"/>
  <c r="K112" i="1"/>
  <c r="M107" i="1"/>
  <c r="K107" i="1"/>
  <c r="M106" i="1"/>
  <c r="K106" i="1"/>
  <c r="M105" i="1"/>
  <c r="K105" i="1"/>
  <c r="M104" i="1"/>
  <c r="K104" i="1"/>
  <c r="M103" i="1"/>
  <c r="K103" i="1"/>
  <c r="M102" i="1"/>
  <c r="K102" i="1"/>
  <c r="M97" i="1"/>
  <c r="K97" i="1"/>
  <c r="M85" i="1"/>
  <c r="K85" i="1"/>
  <c r="M84" i="1"/>
  <c r="K84" i="1"/>
  <c r="M82" i="1"/>
  <c r="K82" i="1"/>
  <c r="M81" i="1"/>
  <c r="K81" i="1"/>
  <c r="M80" i="1"/>
  <c r="K80" i="1"/>
  <c r="M76" i="1"/>
  <c r="K76" i="1"/>
  <c r="M73" i="1"/>
  <c r="K73" i="1"/>
  <c r="M72" i="1"/>
  <c r="K72" i="1"/>
  <c r="M71" i="1"/>
  <c r="K71" i="1"/>
  <c r="M70" i="1"/>
  <c r="K70" i="1"/>
  <c r="M69" i="1"/>
  <c r="K69" i="1"/>
  <c r="M68" i="1"/>
  <c r="K68" i="1"/>
  <c r="M64" i="1"/>
  <c r="K64" i="1"/>
  <c r="M63" i="1"/>
  <c r="K63" i="1"/>
  <c r="M61" i="1"/>
  <c r="K61" i="1"/>
  <c r="M58" i="1"/>
  <c r="K58" i="1"/>
  <c r="M57" i="1"/>
  <c r="K57" i="1"/>
  <c r="M56" i="1"/>
  <c r="K56" i="1"/>
  <c r="M55" i="1"/>
  <c r="K55" i="1"/>
  <c r="M54" i="1"/>
  <c r="K54" i="1"/>
  <c r="M49" i="1"/>
  <c r="K49" i="1"/>
  <c r="M48" i="1"/>
  <c r="K48" i="1"/>
  <c r="M47" i="1"/>
  <c r="K47" i="1"/>
  <c r="M46" i="1"/>
  <c r="K46" i="1"/>
  <c r="M45" i="1"/>
  <c r="K45" i="1"/>
  <c r="M44" i="1"/>
  <c r="K44" i="1"/>
  <c r="M39" i="1"/>
  <c r="K39" i="1"/>
  <c r="M27" i="1"/>
  <c r="K27" i="1"/>
  <c r="M26" i="1"/>
  <c r="K26" i="1"/>
  <c r="M25" i="1"/>
  <c r="K25" i="1"/>
  <c r="M24" i="1"/>
  <c r="K24" i="1"/>
  <c r="M23" i="1"/>
  <c r="K23" i="1"/>
  <c r="M22" i="1"/>
  <c r="K22" i="1"/>
  <c r="M18" i="1"/>
  <c r="K18" i="1"/>
  <c r="M15" i="1"/>
  <c r="K15" i="1"/>
  <c r="M14" i="1"/>
  <c r="K14" i="1"/>
  <c r="M13" i="1"/>
  <c r="K13" i="1"/>
  <c r="M12" i="1"/>
  <c r="M37" i="1" s="1"/>
  <c r="M228" i="1" s="1"/>
  <c r="K12" i="1"/>
  <c r="Q224" i="1"/>
  <c r="Q223" i="1"/>
  <c r="Q222" i="1"/>
  <c r="Q221" i="1"/>
  <c r="Q220" i="1"/>
  <c r="Q215" i="1"/>
  <c r="Q214" i="1"/>
  <c r="Q213" i="1"/>
  <c r="Q212" i="1"/>
  <c r="Q211" i="1"/>
  <c r="Q210" i="1"/>
  <c r="Q205" i="1"/>
  <c r="Q202" i="1"/>
  <c r="Q191" i="1"/>
  <c r="Q189" i="1"/>
  <c r="Q185" i="1"/>
  <c r="Q182" i="1"/>
  <c r="Q181" i="1"/>
  <c r="Q177" i="1"/>
  <c r="Q178" i="1" s="1"/>
  <c r="Q241" i="1" s="1"/>
  <c r="Q176" i="1"/>
  <c r="Q174" i="1"/>
  <c r="Q171" i="1"/>
  <c r="Q170" i="1"/>
  <c r="Q169" i="1"/>
  <c r="Q168" i="1"/>
  <c r="Q167" i="1"/>
  <c r="Q162" i="1"/>
  <c r="Q161" i="1"/>
  <c r="Q160" i="1"/>
  <c r="Q159" i="1"/>
  <c r="Q158" i="1"/>
  <c r="Q157" i="1"/>
  <c r="Q152" i="1"/>
  <c r="Q140" i="1"/>
  <c r="Q139" i="1"/>
  <c r="Q137" i="1"/>
  <c r="Q136" i="1"/>
  <c r="Q135" i="1"/>
  <c r="Q126" i="1"/>
  <c r="Q122" i="1"/>
  <c r="Q121" i="1"/>
  <c r="Q119" i="1"/>
  <c r="Q116" i="1"/>
  <c r="Q115" i="1"/>
  <c r="Q114" i="1"/>
  <c r="Q113" i="1"/>
  <c r="Q112" i="1"/>
  <c r="Q107" i="1"/>
  <c r="Q106" i="1"/>
  <c r="Q105" i="1"/>
  <c r="Q104" i="1"/>
  <c r="Q103" i="1"/>
  <c r="Q102" i="1"/>
  <c r="Q97" i="1"/>
  <c r="Q85" i="1"/>
  <c r="Q84" i="1"/>
  <c r="Q82" i="1"/>
  <c r="Q81" i="1"/>
  <c r="Q80" i="1"/>
  <c r="Q76" i="1"/>
  <c r="Q73" i="1"/>
  <c r="Q72" i="1"/>
  <c r="Q71" i="1"/>
  <c r="Q70" i="1"/>
  <c r="Q69" i="1"/>
  <c r="Q68" i="1"/>
  <c r="Q64" i="1"/>
  <c r="Q63" i="1"/>
  <c r="Q61" i="1"/>
  <c r="Q65" i="1" s="1"/>
  <c r="Q231" i="1" s="1"/>
  <c r="Q58" i="1"/>
  <c r="Q57" i="1"/>
  <c r="Q56" i="1"/>
  <c r="Q55" i="1"/>
  <c r="Q54" i="1"/>
  <c r="Q49" i="1"/>
  <c r="Q48" i="1"/>
  <c r="Q47" i="1"/>
  <c r="Q46" i="1"/>
  <c r="Q45" i="1"/>
  <c r="Q44" i="1"/>
  <c r="Q39" i="1"/>
  <c r="Q27" i="1"/>
  <c r="Q26" i="1"/>
  <c r="Q25" i="1"/>
  <c r="Q24" i="1"/>
  <c r="Q23" i="1"/>
  <c r="Q22" i="1"/>
  <c r="Q18" i="1"/>
  <c r="Q15" i="1"/>
  <c r="Q14" i="1"/>
  <c r="Q13" i="1"/>
  <c r="Q12" i="1"/>
  <c r="I224" i="1"/>
  <c r="I223" i="1"/>
  <c r="I222" i="1"/>
  <c r="I221" i="1"/>
  <c r="I220" i="1"/>
  <c r="I214" i="1"/>
  <c r="I213" i="1"/>
  <c r="I212" i="1"/>
  <c r="I211" i="1"/>
  <c r="I210" i="1"/>
  <c r="I205" i="1"/>
  <c r="I202" i="1"/>
  <c r="I191" i="1"/>
  <c r="I189" i="1"/>
  <c r="I182" i="1"/>
  <c r="I181" i="1"/>
  <c r="I177" i="1"/>
  <c r="I176" i="1"/>
  <c r="I174" i="1"/>
  <c r="I170" i="1"/>
  <c r="I169" i="1"/>
  <c r="I168" i="1"/>
  <c r="I167" i="1"/>
  <c r="I162" i="1"/>
  <c r="I161" i="1"/>
  <c r="I160" i="1"/>
  <c r="I159" i="1"/>
  <c r="I152" i="1"/>
  <c r="I137" i="1"/>
  <c r="I136" i="1"/>
  <c r="I135" i="1"/>
  <c r="I122" i="1"/>
  <c r="I121" i="1"/>
  <c r="I119" i="1"/>
  <c r="I116" i="1"/>
  <c r="I115" i="1"/>
  <c r="I114" i="1"/>
  <c r="I113" i="1"/>
  <c r="I112" i="1"/>
  <c r="I107" i="1"/>
  <c r="I106" i="1"/>
  <c r="I105" i="1"/>
  <c r="I103" i="1"/>
  <c r="I97" i="1"/>
  <c r="I85" i="1"/>
  <c r="I84" i="1"/>
  <c r="I82" i="1"/>
  <c r="I80" i="1"/>
  <c r="I76" i="1"/>
  <c r="I72" i="1"/>
  <c r="I71" i="1"/>
  <c r="I69" i="1"/>
  <c r="I68" i="1"/>
  <c r="I64" i="1"/>
  <c r="I63" i="1"/>
  <c r="I61" i="1"/>
  <c r="I58" i="1"/>
  <c r="I57" i="1"/>
  <c r="I56" i="1"/>
  <c r="I55" i="1"/>
  <c r="I54" i="1"/>
  <c r="I48" i="1"/>
  <c r="I47" i="1"/>
  <c r="I46" i="1"/>
  <c r="I45" i="1"/>
  <c r="I44" i="1"/>
  <c r="I39" i="1"/>
  <c r="I26" i="1"/>
  <c r="I25" i="1"/>
  <c r="I24" i="1"/>
  <c r="I18" i="1"/>
  <c r="I15" i="1"/>
  <c r="C234" i="1"/>
  <c r="A234" i="1"/>
  <c r="U224" i="1"/>
  <c r="U223" i="1"/>
  <c r="U222" i="1"/>
  <c r="U221" i="1"/>
  <c r="U220" i="1"/>
  <c r="U215" i="1"/>
  <c r="U214" i="1"/>
  <c r="U213" i="1"/>
  <c r="U212" i="1"/>
  <c r="U211" i="1"/>
  <c r="U210" i="1"/>
  <c r="U205" i="1"/>
  <c r="U202" i="1"/>
  <c r="U191" i="1"/>
  <c r="U189" i="1"/>
  <c r="U185" i="1"/>
  <c r="U182" i="1"/>
  <c r="U181" i="1"/>
  <c r="U177" i="1"/>
  <c r="U176" i="1"/>
  <c r="U174" i="1"/>
  <c r="U171" i="1"/>
  <c r="U170" i="1"/>
  <c r="U169" i="1"/>
  <c r="U168" i="1"/>
  <c r="U167" i="1"/>
  <c r="U162" i="1"/>
  <c r="U161" i="1"/>
  <c r="U160" i="1"/>
  <c r="U159" i="1"/>
  <c r="U158" i="1"/>
  <c r="U157" i="1"/>
  <c r="U152" i="1"/>
  <c r="U140" i="1"/>
  <c r="U139" i="1"/>
  <c r="U137" i="1"/>
  <c r="U136" i="1"/>
  <c r="U135" i="1"/>
  <c r="U126" i="1"/>
  <c r="U122" i="1"/>
  <c r="U121" i="1"/>
  <c r="U119" i="1"/>
  <c r="U116" i="1"/>
  <c r="U115" i="1"/>
  <c r="U114" i="1"/>
  <c r="U113" i="1"/>
  <c r="U112" i="1"/>
  <c r="U107" i="1"/>
  <c r="U106" i="1"/>
  <c r="U105" i="1"/>
  <c r="U104" i="1"/>
  <c r="U103" i="1"/>
  <c r="U102" i="1"/>
  <c r="U97" i="1"/>
  <c r="U85" i="1"/>
  <c r="U84" i="1"/>
  <c r="U82" i="1"/>
  <c r="U81" i="1"/>
  <c r="U80" i="1"/>
  <c r="U76" i="1"/>
  <c r="U73" i="1"/>
  <c r="U72" i="1"/>
  <c r="U71" i="1"/>
  <c r="U70" i="1"/>
  <c r="U69" i="1"/>
  <c r="U68" i="1"/>
  <c r="U64" i="1"/>
  <c r="U63" i="1"/>
  <c r="U61" i="1"/>
  <c r="U58" i="1"/>
  <c r="U57" i="1"/>
  <c r="U56" i="1"/>
  <c r="U55" i="1"/>
  <c r="U54" i="1"/>
  <c r="U49" i="1"/>
  <c r="U48" i="1"/>
  <c r="U47" i="1"/>
  <c r="U46" i="1"/>
  <c r="U45" i="1"/>
  <c r="U44" i="1"/>
  <c r="U39" i="1"/>
  <c r="U27" i="1"/>
  <c r="U26" i="1"/>
  <c r="U25" i="1"/>
  <c r="U24" i="1"/>
  <c r="U23" i="1"/>
  <c r="U22" i="1"/>
  <c r="U18" i="1"/>
  <c r="U15" i="1"/>
  <c r="U14" i="1"/>
  <c r="U13" i="1"/>
  <c r="U12" i="1"/>
  <c r="S224" i="1"/>
  <c r="S223" i="1"/>
  <c r="S222" i="1"/>
  <c r="S221" i="1"/>
  <c r="S220" i="1"/>
  <c r="S215" i="1"/>
  <c r="S214" i="1"/>
  <c r="S213" i="1"/>
  <c r="S212" i="1"/>
  <c r="S211" i="1"/>
  <c r="S210" i="1"/>
  <c r="S205" i="1"/>
  <c r="S202" i="1"/>
  <c r="S191" i="1"/>
  <c r="S189" i="1"/>
  <c r="S185" i="1"/>
  <c r="S182" i="1"/>
  <c r="S181" i="1"/>
  <c r="S177" i="1"/>
  <c r="S176" i="1"/>
  <c r="S174" i="1"/>
  <c r="S171" i="1"/>
  <c r="S170" i="1"/>
  <c r="S169" i="1"/>
  <c r="S168" i="1"/>
  <c r="S167" i="1"/>
  <c r="S162" i="1"/>
  <c r="S161" i="1"/>
  <c r="S160" i="1"/>
  <c r="S159" i="1"/>
  <c r="S158" i="1"/>
  <c r="S157" i="1"/>
  <c r="S152" i="1"/>
  <c r="S140" i="1"/>
  <c r="S139" i="1"/>
  <c r="S137" i="1"/>
  <c r="S136" i="1"/>
  <c r="S135" i="1"/>
  <c r="S126" i="1"/>
  <c r="S122" i="1"/>
  <c r="S121" i="1"/>
  <c r="S119" i="1"/>
  <c r="S116" i="1"/>
  <c r="S115" i="1"/>
  <c r="S114" i="1"/>
  <c r="S113" i="1"/>
  <c r="S112" i="1"/>
  <c r="S107" i="1"/>
  <c r="S106" i="1"/>
  <c r="S105" i="1"/>
  <c r="S104" i="1"/>
  <c r="S103" i="1"/>
  <c r="S102" i="1"/>
  <c r="S97" i="1"/>
  <c r="S85" i="1"/>
  <c r="S84" i="1"/>
  <c r="S82" i="1"/>
  <c r="S81" i="1"/>
  <c r="S80" i="1"/>
  <c r="S76" i="1"/>
  <c r="S73" i="1"/>
  <c r="S72" i="1"/>
  <c r="S71" i="1"/>
  <c r="S70" i="1"/>
  <c r="S69" i="1"/>
  <c r="S68" i="1"/>
  <c r="S64" i="1"/>
  <c r="S63" i="1"/>
  <c r="S61" i="1"/>
  <c r="S58" i="1"/>
  <c r="S57" i="1"/>
  <c r="S56" i="1"/>
  <c r="S55" i="1"/>
  <c r="S54" i="1"/>
  <c r="S49" i="1"/>
  <c r="S48" i="1"/>
  <c r="S47" i="1"/>
  <c r="S46" i="1"/>
  <c r="S45" i="1"/>
  <c r="S44" i="1"/>
  <c r="S39" i="1"/>
  <c r="S27" i="1"/>
  <c r="S26" i="1"/>
  <c r="S25" i="1"/>
  <c r="S24" i="1"/>
  <c r="S23" i="1"/>
  <c r="S22" i="1"/>
  <c r="S18" i="1"/>
  <c r="S15" i="1"/>
  <c r="S14" i="1"/>
  <c r="S13" i="1"/>
  <c r="S12" i="1"/>
  <c r="O224" i="1"/>
  <c r="O223" i="1"/>
  <c r="O222" i="1"/>
  <c r="O221" i="1"/>
  <c r="O220" i="1"/>
  <c r="O215" i="1"/>
  <c r="O214" i="1"/>
  <c r="O213" i="1"/>
  <c r="O212" i="1"/>
  <c r="O211" i="1"/>
  <c r="O210" i="1"/>
  <c r="O205" i="1"/>
  <c r="O202" i="1"/>
  <c r="O191" i="1"/>
  <c r="O189" i="1"/>
  <c r="O185" i="1"/>
  <c r="O182" i="1"/>
  <c r="O181" i="1"/>
  <c r="O177" i="1"/>
  <c r="O176" i="1"/>
  <c r="O174" i="1"/>
  <c r="O171" i="1"/>
  <c r="O170" i="1"/>
  <c r="O169" i="1"/>
  <c r="O168" i="1"/>
  <c r="O167" i="1"/>
  <c r="O162" i="1"/>
  <c r="O161" i="1"/>
  <c r="O160" i="1"/>
  <c r="O159" i="1"/>
  <c r="O158" i="1"/>
  <c r="O157" i="1"/>
  <c r="O152" i="1"/>
  <c r="O140" i="1"/>
  <c r="O139" i="1"/>
  <c r="O137" i="1"/>
  <c r="O136" i="1"/>
  <c r="O135" i="1"/>
  <c r="O126" i="1"/>
  <c r="O122" i="1"/>
  <c r="O121" i="1"/>
  <c r="O119" i="1"/>
  <c r="O116" i="1"/>
  <c r="O115" i="1"/>
  <c r="O114" i="1"/>
  <c r="O113" i="1"/>
  <c r="O112" i="1"/>
  <c r="O107" i="1"/>
  <c r="O106" i="1"/>
  <c r="O105" i="1"/>
  <c r="O104" i="1"/>
  <c r="O103" i="1"/>
  <c r="O102" i="1"/>
  <c r="O97" i="1"/>
  <c r="O85" i="1"/>
  <c r="O84" i="1"/>
  <c r="O82" i="1"/>
  <c r="O81" i="1"/>
  <c r="O80" i="1"/>
  <c r="O76" i="1"/>
  <c r="O73" i="1"/>
  <c r="O72" i="1"/>
  <c r="O71" i="1"/>
  <c r="O70" i="1"/>
  <c r="O69" i="1"/>
  <c r="O68" i="1"/>
  <c r="O64" i="1"/>
  <c r="O63" i="1"/>
  <c r="O61" i="1"/>
  <c r="O58" i="1"/>
  <c r="O57" i="1"/>
  <c r="O56" i="1"/>
  <c r="O55" i="1"/>
  <c r="O54" i="1"/>
  <c r="O49" i="1"/>
  <c r="O48" i="1"/>
  <c r="O47" i="1"/>
  <c r="O46" i="1"/>
  <c r="O45" i="1"/>
  <c r="O44" i="1"/>
  <c r="O39" i="1"/>
  <c r="O27" i="1"/>
  <c r="O26" i="1"/>
  <c r="O25" i="1"/>
  <c r="O24" i="1"/>
  <c r="O23" i="1"/>
  <c r="O22" i="1"/>
  <c r="O18" i="1"/>
  <c r="O15" i="1"/>
  <c r="O14" i="1"/>
  <c r="O13" i="1"/>
  <c r="O12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3" i="1"/>
  <c r="C232" i="1"/>
  <c r="C231" i="1"/>
  <c r="C230" i="1"/>
  <c r="C229" i="1"/>
  <c r="C228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3" i="1"/>
  <c r="A232" i="1"/>
  <c r="A231" i="1"/>
  <c r="A230" i="1"/>
  <c r="A229" i="1"/>
  <c r="A228" i="1"/>
  <c r="G46" i="1"/>
  <c r="G47" i="1"/>
  <c r="G48" i="1"/>
  <c r="G49" i="1"/>
  <c r="G54" i="1"/>
  <c r="G55" i="1"/>
  <c r="G56" i="1"/>
  <c r="G57" i="1"/>
  <c r="G58" i="1"/>
  <c r="G61" i="1"/>
  <c r="G63" i="1"/>
  <c r="G69" i="1"/>
  <c r="G70" i="1"/>
  <c r="G72" i="1"/>
  <c r="G73" i="1"/>
  <c r="G80" i="1"/>
  <c r="G81" i="1"/>
  <c r="G82" i="1"/>
  <c r="G84" i="1"/>
  <c r="G97" i="1"/>
  <c r="G103" i="1"/>
  <c r="G105" i="1"/>
  <c r="G106" i="1"/>
  <c r="G107" i="1"/>
  <c r="G112" i="1"/>
  <c r="G114" i="1"/>
  <c r="G115" i="1"/>
  <c r="G116" i="1"/>
  <c r="G119" i="1"/>
  <c r="G121" i="1"/>
  <c r="G122" i="1"/>
  <c r="G135" i="1"/>
  <c r="G137" i="1"/>
  <c r="G139" i="1"/>
  <c r="G140" i="1"/>
  <c r="G157" i="1"/>
  <c r="G158" i="1"/>
  <c r="G161" i="1"/>
  <c r="G162" i="1"/>
  <c r="G167" i="1"/>
  <c r="G168" i="1"/>
  <c r="G169" i="1"/>
  <c r="G170" i="1"/>
  <c r="G171" i="1"/>
  <c r="G174" i="1"/>
  <c r="G177" i="1"/>
  <c r="G181" i="1"/>
  <c r="G182" i="1"/>
  <c r="G185" i="1"/>
  <c r="G191" i="1"/>
  <c r="G202" i="1"/>
  <c r="G205" i="1"/>
  <c r="G210" i="1"/>
  <c r="G211" i="1"/>
  <c r="G212" i="1"/>
  <c r="G213" i="1"/>
  <c r="G214" i="1"/>
  <c r="G215" i="1"/>
  <c r="G220" i="1"/>
  <c r="G221" i="1"/>
  <c r="G222" i="1"/>
  <c r="G223" i="1"/>
  <c r="G224" i="1"/>
  <c r="G39" i="1"/>
  <c r="G13" i="1"/>
  <c r="G15" i="1"/>
  <c r="G18" i="1"/>
  <c r="G22" i="1"/>
  <c r="G23" i="1"/>
  <c r="G24" i="1"/>
  <c r="G25" i="1"/>
  <c r="G26" i="1"/>
  <c r="G27" i="1"/>
  <c r="G12" i="1"/>
  <c r="M123" i="1" l="1"/>
  <c r="M236" i="1" s="1"/>
  <c r="M165" i="1"/>
  <c r="M239" i="1" s="1"/>
  <c r="M178" i="1"/>
  <c r="M241" i="1" s="1"/>
  <c r="M218" i="1"/>
  <c r="M244" i="1" s="1"/>
  <c r="M203" i="1"/>
  <c r="M243" i="1" s="1"/>
  <c r="M225" i="1"/>
  <c r="M245" i="1" s="1"/>
  <c r="Q218" i="1"/>
  <c r="Q244" i="1" s="1"/>
  <c r="K59" i="1"/>
  <c r="K230" i="1" s="1"/>
  <c r="K95" i="1"/>
  <c r="K233" i="1" s="1"/>
  <c r="K110" i="1"/>
  <c r="K234" i="1" s="1"/>
  <c r="K117" i="1"/>
  <c r="K235" i="1" s="1"/>
  <c r="K150" i="1"/>
  <c r="K238" i="1" s="1"/>
  <c r="Q59" i="1"/>
  <c r="Q230" i="1" s="1"/>
  <c r="M59" i="1"/>
  <c r="M230" i="1" s="1"/>
  <c r="M95" i="1"/>
  <c r="M233" i="1" s="1"/>
  <c r="M117" i="1"/>
  <c r="M235" i="1" s="1"/>
  <c r="M150" i="1"/>
  <c r="M238" i="1" s="1"/>
  <c r="K52" i="1"/>
  <c r="K229" i="1" s="1"/>
  <c r="K65" i="1"/>
  <c r="K231" i="1" s="1"/>
  <c r="K172" i="1"/>
  <c r="K240" i="1" s="1"/>
  <c r="M52" i="1"/>
  <c r="M229" i="1" s="1"/>
  <c r="L232" i="1" s="1"/>
  <c r="M65" i="1"/>
  <c r="M231" i="1" s="1"/>
  <c r="M110" i="1"/>
  <c r="M234" i="1" s="1"/>
  <c r="M172" i="1"/>
  <c r="M240" i="1" s="1"/>
  <c r="K37" i="1"/>
  <c r="K228" i="1" s="1"/>
  <c r="K165" i="1"/>
  <c r="K239" i="1" s="1"/>
  <c r="K178" i="1"/>
  <c r="K241" i="1" s="1"/>
  <c r="K218" i="1"/>
  <c r="K244" i="1" s="1"/>
  <c r="J246" i="1" s="1"/>
  <c r="K225" i="1"/>
  <c r="K245" i="1" s="1"/>
  <c r="I172" i="1"/>
  <c r="I240" i="1" s="1"/>
  <c r="Q117" i="1"/>
  <c r="Q235" i="1" s="1"/>
  <c r="Q150" i="1"/>
  <c r="Q238" i="1" s="1"/>
  <c r="Q110" i="1"/>
  <c r="Q234" i="1" s="1"/>
  <c r="Q165" i="1"/>
  <c r="Q239" i="1" s="1"/>
  <c r="Q225" i="1"/>
  <c r="Q245" i="1" s="1"/>
  <c r="Q37" i="1"/>
  <c r="Q228" i="1" s="1"/>
  <c r="Q95" i="1"/>
  <c r="Q233" i="1" s="1"/>
  <c r="P237" i="1" s="1"/>
  <c r="Q123" i="1"/>
  <c r="Q236" i="1" s="1"/>
  <c r="Q52" i="1"/>
  <c r="Q229" i="1" s="1"/>
  <c r="Q172" i="1"/>
  <c r="Q240" i="1" s="1"/>
  <c r="Q203" i="1"/>
  <c r="Q243" i="1" s="1"/>
  <c r="I59" i="1"/>
  <c r="I230" i="1" s="1"/>
  <c r="I65" i="1"/>
  <c r="I231" i="1" s="1"/>
  <c r="I52" i="1"/>
  <c r="I229" i="1" s="1"/>
  <c r="I178" i="1"/>
  <c r="I241" i="1" s="1"/>
  <c r="I123" i="1"/>
  <c r="I236" i="1" s="1"/>
  <c r="I117" i="1"/>
  <c r="I235" i="1" s="1"/>
  <c r="I225" i="1"/>
  <c r="I245" i="1" s="1"/>
  <c r="I218" i="1"/>
  <c r="I244" i="1" s="1"/>
  <c r="I203" i="1"/>
  <c r="I243" i="1" s="1"/>
  <c r="I165" i="1"/>
  <c r="I239" i="1" s="1"/>
  <c r="I150" i="1"/>
  <c r="I238" i="1" s="1"/>
  <c r="I110" i="1"/>
  <c r="I234" i="1" s="1"/>
  <c r="I95" i="1"/>
  <c r="I233" i="1" s="1"/>
  <c r="I37" i="1"/>
  <c r="I228" i="1" s="1"/>
  <c r="U123" i="1"/>
  <c r="U236" i="1" s="1"/>
  <c r="O178" i="1"/>
  <c r="O241" i="1" s="1"/>
  <c r="U110" i="1"/>
  <c r="U234" i="1" s="1"/>
  <c r="S65" i="1"/>
  <c r="S231" i="1" s="1"/>
  <c r="S117" i="1"/>
  <c r="S235" i="1" s="1"/>
  <c r="U218" i="1"/>
  <c r="U244" i="1" s="1"/>
  <c r="U165" i="1"/>
  <c r="U239" i="1" s="1"/>
  <c r="S225" i="1"/>
  <c r="S245" i="1" s="1"/>
  <c r="O203" i="1"/>
  <c r="O243" i="1" s="1"/>
  <c r="S37" i="1"/>
  <c r="S228" i="1" s="1"/>
  <c r="U59" i="1"/>
  <c r="U230" i="1" s="1"/>
  <c r="O150" i="1"/>
  <c r="O238" i="1" s="1"/>
  <c r="U225" i="1"/>
  <c r="U245" i="1" s="1"/>
  <c r="S178" i="1"/>
  <c r="S241" i="1" s="1"/>
  <c r="U65" i="1"/>
  <c r="U231" i="1" s="1"/>
  <c r="U117" i="1"/>
  <c r="U235" i="1" s="1"/>
  <c r="O218" i="1"/>
  <c r="O244" i="1" s="1"/>
  <c r="S123" i="1"/>
  <c r="S236" i="1" s="1"/>
  <c r="U95" i="1"/>
  <c r="U233" i="1" s="1"/>
  <c r="U37" i="1"/>
  <c r="U228" i="1" s="1"/>
  <c r="O165" i="1"/>
  <c r="O239" i="1" s="1"/>
  <c r="O110" i="1"/>
  <c r="O234" i="1" s="1"/>
  <c r="G37" i="1"/>
  <c r="G228" i="1" s="1"/>
  <c r="O59" i="1"/>
  <c r="O230" i="1" s="1"/>
  <c r="S218" i="1"/>
  <c r="S244" i="1" s="1"/>
  <c r="S203" i="1"/>
  <c r="S243" i="1" s="1"/>
  <c r="S150" i="1"/>
  <c r="S238" i="1" s="1"/>
  <c r="S52" i="1"/>
  <c r="S229" i="1" s="1"/>
  <c r="O37" i="1"/>
  <c r="O228" i="1" s="1"/>
  <c r="O225" i="1"/>
  <c r="O245" i="1" s="1"/>
  <c r="O65" i="1"/>
  <c r="O231" i="1" s="1"/>
  <c r="O117" i="1"/>
  <c r="O235" i="1" s="1"/>
  <c r="O95" i="1"/>
  <c r="O233" i="1" s="1"/>
  <c r="O52" i="1"/>
  <c r="O229" i="1" s="1"/>
  <c r="S95" i="1"/>
  <c r="S233" i="1" s="1"/>
  <c r="U172" i="1"/>
  <c r="U240" i="1" s="1"/>
  <c r="U178" i="1"/>
  <c r="U241" i="1" s="1"/>
  <c r="S172" i="1"/>
  <c r="S240" i="1" s="1"/>
  <c r="S110" i="1"/>
  <c r="S234" i="1" s="1"/>
  <c r="S165" i="1"/>
  <c r="S239" i="1" s="1"/>
  <c r="U203" i="1"/>
  <c r="U243" i="1" s="1"/>
  <c r="O172" i="1"/>
  <c r="O240" i="1" s="1"/>
  <c r="S59" i="1"/>
  <c r="S230" i="1" s="1"/>
  <c r="U52" i="1"/>
  <c r="U229" i="1" s="1"/>
  <c r="O123" i="1"/>
  <c r="O236" i="1" s="1"/>
  <c r="U150" i="1"/>
  <c r="U238" i="1" s="1"/>
  <c r="G59" i="1"/>
  <c r="G230" i="1" s="1"/>
  <c r="G65" i="1"/>
  <c r="G231" i="1" s="1"/>
  <c r="G218" i="1"/>
  <c r="G244" i="1" s="1"/>
  <c r="G203" i="1"/>
  <c r="G243" i="1" s="1"/>
  <c r="G165" i="1"/>
  <c r="G239" i="1" s="1"/>
  <c r="G150" i="1"/>
  <c r="G238" i="1" s="1"/>
  <c r="G110" i="1"/>
  <c r="G234" i="1" s="1"/>
  <c r="G95" i="1"/>
  <c r="G233" i="1" s="1"/>
  <c r="G225" i="1"/>
  <c r="G245" i="1" s="1"/>
  <c r="G172" i="1"/>
  <c r="G240" i="1" s="1"/>
  <c r="G117" i="1"/>
  <c r="G235" i="1" s="1"/>
  <c r="G52" i="1"/>
  <c r="G229" i="1" s="1"/>
  <c r="G178" i="1"/>
  <c r="G241" i="1" s="1"/>
  <c r="G123" i="1"/>
  <c r="G236" i="1" s="1"/>
  <c r="M248" i="1" l="1"/>
  <c r="M249" i="1" s="1"/>
  <c r="M250" i="1" s="1"/>
  <c r="L246" i="1"/>
  <c r="J232" i="1"/>
  <c r="H232" i="1"/>
  <c r="P232" i="1"/>
  <c r="J242" i="1"/>
  <c r="P242" i="1"/>
  <c r="H242" i="1"/>
  <c r="K248" i="1"/>
  <c r="L242" i="1"/>
  <c r="L237" i="1"/>
  <c r="J237" i="1"/>
  <c r="H246" i="1"/>
  <c r="Q248" i="1"/>
  <c r="Q249" i="1" s="1"/>
  <c r="Q250" i="1" s="1"/>
  <c r="P246" i="1"/>
  <c r="H237" i="1"/>
  <c r="R232" i="1"/>
  <c r="F242" i="1"/>
  <c r="F237" i="1"/>
  <c r="I248" i="1"/>
  <c r="I249" i="1" s="1"/>
  <c r="I250" i="1" s="1"/>
  <c r="T246" i="1"/>
  <c r="F246" i="1"/>
  <c r="N232" i="1"/>
  <c r="R242" i="1"/>
  <c r="F232" i="1"/>
  <c r="T242" i="1"/>
  <c r="N237" i="1"/>
  <c r="N246" i="1"/>
  <c r="R246" i="1"/>
  <c r="T237" i="1"/>
  <c r="T232" i="1"/>
  <c r="R237" i="1"/>
  <c r="N242" i="1"/>
  <c r="U248" i="1"/>
  <c r="U249" i="1" s="1"/>
  <c r="U250" i="1" s="1"/>
  <c r="S248" i="1"/>
  <c r="S249" i="1" s="1"/>
  <c r="S250" i="1" s="1"/>
  <c r="G248" i="1"/>
  <c r="G249" i="1" s="1"/>
  <c r="G250" i="1" s="1"/>
  <c r="O248" i="1"/>
  <c r="O249" i="1" s="1"/>
  <c r="O250" i="1" s="1"/>
  <c r="K249" i="1" l="1"/>
  <c r="K2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tc={F8EFC6CC-F4DF-4582-BF02-2A6D0030A626}</author>
    <author>tc={37BB3404-7A11-475B-849B-D3BC13D9898E}</author>
    <author>tc={85143BF8-4F4A-4762-BA14-30BA5AD61A0B}</author>
    <author>tc={ACC74C86-15DA-4CF8-AD7D-3EEB9251AA2D}</author>
  </authors>
  <commentList>
    <comment ref="P78" authorId="0" shapeId="0" xr:uid="{F8EFC6CC-F4DF-4582-BF02-2A6D0030A62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148,00 €/m vorher. Pos.</t>
      </text>
    </comment>
    <comment ref="P181" authorId="1" shapeId="0" xr:uid="{37BB3404-7A11-475B-849B-D3BC13D9898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EP fehlt, aus vergleichb. Pos. übernommen</t>
      </text>
    </comment>
    <comment ref="P187" authorId="2" shapeId="0" xr:uid="{85143BF8-4F4A-4762-BA14-30BA5AD61A0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148,00 €/m vorher. Pos.</t>
      </text>
    </comment>
    <comment ref="P189" authorId="3" shapeId="0" xr:uid="{ACC74C86-15DA-4CF8-AD7D-3EEB9251AA2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420,00 €/ Stck aus vorher. Pos.</t>
      </text>
    </comment>
  </commentList>
</comments>
</file>

<file path=xl/sharedStrings.xml><?xml version="1.0" encoding="utf-8"?>
<sst xmlns="http://schemas.openxmlformats.org/spreadsheetml/2006/main" count="1508" uniqueCount="302">
  <si>
    <t>Bauvorhaben:</t>
  </si>
  <si>
    <t>Bieter:</t>
  </si>
  <si>
    <t>Tel:</t>
  </si>
  <si>
    <t>Gewerk:</t>
  </si>
  <si>
    <t>Angebot v.:</t>
  </si>
  <si>
    <t>CR Auskunft:</t>
  </si>
  <si>
    <t>vom:</t>
  </si>
  <si>
    <t>Index</t>
  </si>
  <si>
    <t>AK</t>
  </si>
  <si>
    <t>Umsatz</t>
  </si>
  <si>
    <t>Pos.</t>
  </si>
  <si>
    <t>Kurz-Info</t>
  </si>
  <si>
    <t>Beschreibung</t>
  </si>
  <si>
    <t>Menge</t>
  </si>
  <si>
    <t>EH</t>
  </si>
  <si>
    <t>EP</t>
  </si>
  <si>
    <t>GP</t>
  </si>
  <si>
    <t>20006551 Offenbach LEIQ - Aubau BT B</t>
  </si>
  <si>
    <t>Trockenbau</t>
  </si>
  <si>
    <t>01.</t>
  </si>
  <si>
    <t>01.01.01.</t>
  </si>
  <si>
    <t xml:space="preserve">01.01.01.0010. </t>
  </si>
  <si>
    <t xml:space="preserve">01.01.01.0020. </t>
  </si>
  <si>
    <t xml:space="preserve">01.01.01.0030. </t>
  </si>
  <si>
    <t xml:space="preserve">01.01.01.0040. </t>
  </si>
  <si>
    <t xml:space="preserve">01.01.01.0100. </t>
  </si>
  <si>
    <t xml:space="preserve">01.01.01.0110. </t>
  </si>
  <si>
    <t xml:space="preserve">01.01.01.0130. </t>
  </si>
  <si>
    <t xml:space="preserve">01.01.01.0140. </t>
  </si>
  <si>
    <t xml:space="preserve">01.01.01.0150. </t>
  </si>
  <si>
    <t xml:space="preserve">01.01.01.0160. </t>
  </si>
  <si>
    <t xml:space="preserve">01.01.01.0180. </t>
  </si>
  <si>
    <t xml:space="preserve">01.01.01.0190. </t>
  </si>
  <si>
    <t xml:space="preserve">01.01.01.0200. </t>
  </si>
  <si>
    <t xml:space="preserve">01.01.01.0210. </t>
  </si>
  <si>
    <t xml:space="preserve">01.01.01.0215. </t>
  </si>
  <si>
    <t xml:space="preserve">01.01.01.0220. </t>
  </si>
  <si>
    <t xml:space="preserve">01.01.01.0250. </t>
  </si>
  <si>
    <t xml:space="preserve">01.01.01.0260. </t>
  </si>
  <si>
    <t xml:space="preserve">01.01.01.0270. </t>
  </si>
  <si>
    <t xml:space="preserve">01.01.01.0280. </t>
  </si>
  <si>
    <t xml:space="preserve">01.01.01.0290. </t>
  </si>
  <si>
    <t xml:space="preserve">01.01.01.0300. </t>
  </si>
  <si>
    <t xml:space="preserve">01.01.01.0310. </t>
  </si>
  <si>
    <t xml:space="preserve">01.01.01.0320. </t>
  </si>
  <si>
    <t xml:space="preserve">01.01.01.0330. </t>
  </si>
  <si>
    <t>01.02.01.</t>
  </si>
  <si>
    <t xml:space="preserve">01.02.01.0010. </t>
  </si>
  <si>
    <t xml:space="preserve">01.02.01.0020. </t>
  </si>
  <si>
    <t xml:space="preserve">01.02.01.0030. </t>
  </si>
  <si>
    <t xml:space="preserve">01.02.01.0040. </t>
  </si>
  <si>
    <t xml:space="preserve">01.02.01.0050. </t>
  </si>
  <si>
    <t xml:space="preserve">01.02.01.0060. </t>
  </si>
  <si>
    <t xml:space="preserve">01.02.01.0070. </t>
  </si>
  <si>
    <t xml:space="preserve">01.02.01.0080. </t>
  </si>
  <si>
    <t xml:space="preserve">01.02.01.0090. </t>
  </si>
  <si>
    <t xml:space="preserve">01.02.01.0100. </t>
  </si>
  <si>
    <t xml:space="preserve">01.02.01.0110. </t>
  </si>
  <si>
    <t xml:space="preserve">01.02.01.0120. </t>
  </si>
  <si>
    <t xml:space="preserve">01.02.01.0130. </t>
  </si>
  <si>
    <t>01.02.02.</t>
  </si>
  <si>
    <t xml:space="preserve">01.02.02.0010. </t>
  </si>
  <si>
    <t xml:space="preserve">01.02.02.0020. </t>
  </si>
  <si>
    <t xml:space="preserve">01.02.02.0030. </t>
  </si>
  <si>
    <t xml:space="preserve">01.02.02.0040. </t>
  </si>
  <si>
    <t xml:space="preserve">01.02.02.0050. </t>
  </si>
  <si>
    <t>01.02.03.</t>
  </si>
  <si>
    <t xml:space="preserve">01.02.03.0010. </t>
  </si>
  <si>
    <t xml:space="preserve">01.02.03.0020. </t>
  </si>
  <si>
    <t xml:space="preserve">01.02.03.0040. </t>
  </si>
  <si>
    <t xml:space="preserve">01.02.03.0050. </t>
  </si>
  <si>
    <t>02.</t>
  </si>
  <si>
    <t>02.01.01.</t>
  </si>
  <si>
    <t xml:space="preserve">02.01.01.0010. </t>
  </si>
  <si>
    <t xml:space="preserve">02.01.01.0020. </t>
  </si>
  <si>
    <t xml:space="preserve">02.01.01.0030. </t>
  </si>
  <si>
    <t xml:space="preserve">02.01.01.0040. </t>
  </si>
  <si>
    <t xml:space="preserve">02.01.01.0090. </t>
  </si>
  <si>
    <t xml:space="preserve">02.01.01.0095. </t>
  </si>
  <si>
    <t xml:space="preserve">02.01.01.0100. </t>
  </si>
  <si>
    <t xml:space="preserve">02.01.01.0110. </t>
  </si>
  <si>
    <t xml:space="preserve">02.01.01.0130. </t>
  </si>
  <si>
    <t xml:space="preserve">02.01.01.0140. </t>
  </si>
  <si>
    <t xml:space="preserve">02.01.01.0150. </t>
  </si>
  <si>
    <t xml:space="preserve">02.01.01.0160. </t>
  </si>
  <si>
    <t xml:space="preserve">02.01.01.0180. </t>
  </si>
  <si>
    <t xml:space="preserve">02.01.01.0190. </t>
  </si>
  <si>
    <t xml:space="preserve">02.01.01.0200. </t>
  </si>
  <si>
    <t xml:space="preserve">02.01.01.0210. </t>
  </si>
  <si>
    <t xml:space="preserve">02.01.01.0215. </t>
  </si>
  <si>
    <t xml:space="preserve">02.01.01.0220. </t>
  </si>
  <si>
    <t xml:space="preserve">02.01.01.0250. </t>
  </si>
  <si>
    <t xml:space="preserve">02.01.01.0260. </t>
  </si>
  <si>
    <t xml:space="preserve">02.01.01.0270. </t>
  </si>
  <si>
    <t xml:space="preserve">02.01.01.0280. </t>
  </si>
  <si>
    <t xml:space="preserve">02.01.01.0290. </t>
  </si>
  <si>
    <t xml:space="preserve">02.01.01.0300. </t>
  </si>
  <si>
    <t xml:space="preserve">02.01.01.0310. </t>
  </si>
  <si>
    <t xml:space="preserve">02.01.01.0320. </t>
  </si>
  <si>
    <t xml:space="preserve">02.01.01.0330. </t>
  </si>
  <si>
    <t>02.02.01.</t>
  </si>
  <si>
    <t xml:space="preserve">02.02.01.0010. </t>
  </si>
  <si>
    <t xml:space="preserve">02.02.01.0020. </t>
  </si>
  <si>
    <t xml:space="preserve">02.02.01.0030. </t>
  </si>
  <si>
    <t xml:space="preserve">02.02.01.0040. </t>
  </si>
  <si>
    <t xml:space="preserve">02.02.01.0050. </t>
  </si>
  <si>
    <t xml:space="preserve">02.02.01.0060. </t>
  </si>
  <si>
    <t xml:space="preserve">02.02.01.0070. </t>
  </si>
  <si>
    <t xml:space="preserve">02.02.01.0080. </t>
  </si>
  <si>
    <t xml:space="preserve">02.02.01.0090. </t>
  </si>
  <si>
    <t xml:space="preserve">02.02.01.0100. </t>
  </si>
  <si>
    <t xml:space="preserve">02.02.01.0110. </t>
  </si>
  <si>
    <t xml:space="preserve">02.02.01.0120. </t>
  </si>
  <si>
    <t xml:space="preserve">02.02.01.0130. </t>
  </si>
  <si>
    <t>02.02.02.</t>
  </si>
  <si>
    <t xml:space="preserve">02.02.02.0010. </t>
  </si>
  <si>
    <t xml:space="preserve">02.02.02.0020. </t>
  </si>
  <si>
    <t xml:space="preserve">02.02.02.0030. </t>
  </si>
  <si>
    <t xml:space="preserve">02.02.02.0040. </t>
  </si>
  <si>
    <t xml:space="preserve">02.02.02.0050. </t>
  </si>
  <si>
    <t>02.02.03.</t>
  </si>
  <si>
    <t xml:space="preserve">02.02.03.0010. </t>
  </si>
  <si>
    <t xml:space="preserve">02.02.03.0020. </t>
  </si>
  <si>
    <t xml:space="preserve">02.02.03.0040. </t>
  </si>
  <si>
    <t xml:space="preserve">02.02.03.0050. </t>
  </si>
  <si>
    <t>03.</t>
  </si>
  <si>
    <t>03.01.01.</t>
  </si>
  <si>
    <t xml:space="preserve">03.01.01.0010. </t>
  </si>
  <si>
    <t xml:space="preserve">03.01.01.0080. </t>
  </si>
  <si>
    <t xml:space="preserve">03.01.01.0090. </t>
  </si>
  <si>
    <t xml:space="preserve">03.01.01.0100. </t>
  </si>
  <si>
    <t xml:space="preserve">03.01.01.0110. </t>
  </si>
  <si>
    <t xml:space="preserve">03.01.01.0130. </t>
  </si>
  <si>
    <t xml:space="preserve">03.01.01.0140. </t>
  </si>
  <si>
    <t xml:space="preserve">03.01.01.0150. </t>
  </si>
  <si>
    <t xml:space="preserve">03.01.01.0160. </t>
  </si>
  <si>
    <t xml:space="preserve">03.01.01.0180. </t>
  </si>
  <si>
    <t xml:space="preserve">03.01.01.0190. </t>
  </si>
  <si>
    <t xml:space="preserve">03.01.01.0200. </t>
  </si>
  <si>
    <t xml:space="preserve">03.01.01.0210. </t>
  </si>
  <si>
    <t xml:space="preserve">03.01.01.0215. </t>
  </si>
  <si>
    <t xml:space="preserve">03.01.01.0220. </t>
  </si>
  <si>
    <t xml:space="preserve">03.01.01.0250. </t>
  </si>
  <si>
    <t xml:space="preserve">03.01.01.0260. </t>
  </si>
  <si>
    <t xml:space="preserve">03.01.01.0270. </t>
  </si>
  <si>
    <t xml:space="preserve">03.01.01.0280. </t>
  </si>
  <si>
    <t xml:space="preserve">03.01.01.0290. </t>
  </si>
  <si>
    <t xml:space="preserve">03.01.01.0300. </t>
  </si>
  <si>
    <t xml:space="preserve">03.01.01.0310. </t>
  </si>
  <si>
    <t xml:space="preserve">03.01.01.0320. </t>
  </si>
  <si>
    <t xml:space="preserve">03.01.01.0330. </t>
  </si>
  <si>
    <t>03.02.01.</t>
  </si>
  <si>
    <t xml:space="preserve">03.02.01.0010. </t>
  </si>
  <si>
    <t xml:space="preserve">03.02.01.0020. </t>
  </si>
  <si>
    <t xml:space="preserve">03.02.01.0030. </t>
  </si>
  <si>
    <t xml:space="preserve">03.02.01.0040. </t>
  </si>
  <si>
    <t xml:space="preserve">03.02.01.0050. </t>
  </si>
  <si>
    <t xml:space="preserve">03.02.01.0060. </t>
  </si>
  <si>
    <t xml:space="preserve">03.02.01.0070. </t>
  </si>
  <si>
    <t xml:space="preserve">03.02.01.0080. </t>
  </si>
  <si>
    <t xml:space="preserve">03.02.01.0090. </t>
  </si>
  <si>
    <t xml:space="preserve">03.02.01.0100. </t>
  </si>
  <si>
    <t xml:space="preserve">03.02.01.0110. </t>
  </si>
  <si>
    <t xml:space="preserve">03.02.01.0120. </t>
  </si>
  <si>
    <t xml:space="preserve">03.02.01.0130. </t>
  </si>
  <si>
    <t>03.02.02.</t>
  </si>
  <si>
    <t xml:space="preserve">03.02.02.0010. </t>
  </si>
  <si>
    <t xml:space="preserve">03.02.02.0020. </t>
  </si>
  <si>
    <t xml:space="preserve">03.02.02.0030. </t>
  </si>
  <si>
    <t xml:space="preserve">03.02.02.0040. </t>
  </si>
  <si>
    <t xml:space="preserve">03.02.02.0050. </t>
  </si>
  <si>
    <t>03.02.03.</t>
  </si>
  <si>
    <t xml:space="preserve">03.02.03.0010. </t>
  </si>
  <si>
    <t xml:space="preserve">03.02.03.0020. </t>
  </si>
  <si>
    <t xml:space="preserve">03.02.03.0040. </t>
  </si>
  <si>
    <t xml:space="preserve">03.02.03.0050. </t>
  </si>
  <si>
    <t>04.</t>
  </si>
  <si>
    <t>04.01.</t>
  </si>
  <si>
    <t xml:space="preserve">04.01.  .0020. </t>
  </si>
  <si>
    <t xml:space="preserve">04.01.  .0100. </t>
  </si>
  <si>
    <t xml:space="preserve">04.01.  .0110. </t>
  </si>
  <si>
    <t xml:space="preserve">04.01.  .0120. </t>
  </si>
  <si>
    <t xml:space="preserve">04.01.  .0130. </t>
  </si>
  <si>
    <t xml:space="preserve">04.01.  .0140. </t>
  </si>
  <si>
    <t xml:space="preserve">04.01.  .0150. </t>
  </si>
  <si>
    <t xml:space="preserve">04.01.  .0160. </t>
  </si>
  <si>
    <t xml:space="preserve">04.01.  .0180. </t>
  </si>
  <si>
    <t xml:space="preserve">04.01.  .0190. </t>
  </si>
  <si>
    <t xml:space="preserve">04.01.  .0200. </t>
  </si>
  <si>
    <t xml:space="preserve">04.01.  .0210. </t>
  </si>
  <si>
    <t xml:space="preserve">04.01.  .0220. </t>
  </si>
  <si>
    <t xml:space="preserve">04.01.  .0250. </t>
  </si>
  <si>
    <t xml:space="preserve">04.01.  .0260. </t>
  </si>
  <si>
    <t xml:space="preserve">04.01.  .0270. </t>
  </si>
  <si>
    <t xml:space="preserve">04.01.  .0280. </t>
  </si>
  <si>
    <t xml:space="preserve">04.01.  .0290. </t>
  </si>
  <si>
    <t xml:space="preserve">04.01.  .0300. </t>
  </si>
  <si>
    <t xml:space="preserve">04.01.  .0310. </t>
  </si>
  <si>
    <t xml:space="preserve">04.01.  .0320. </t>
  </si>
  <si>
    <t xml:space="preserve">04.01.  .0330. </t>
  </si>
  <si>
    <t>04.02.01.</t>
  </si>
  <si>
    <t xml:space="preserve">04.02.01.0010. </t>
  </si>
  <si>
    <t xml:space="preserve">04.02.01.0020. </t>
  </si>
  <si>
    <t xml:space="preserve">04.02.01.0030. </t>
  </si>
  <si>
    <t xml:space="preserve">04.02.01.0040. </t>
  </si>
  <si>
    <t xml:space="preserve">04.02.01.0050. </t>
  </si>
  <si>
    <t xml:space="preserve">04.02.01.0060. </t>
  </si>
  <si>
    <t xml:space="preserve">04.02.01.0070. </t>
  </si>
  <si>
    <t xml:space="preserve">04.02.01.0080. </t>
  </si>
  <si>
    <t xml:space="preserve">04.02.01.0090. </t>
  </si>
  <si>
    <t xml:space="preserve">04.02.01.0100. </t>
  </si>
  <si>
    <t xml:space="preserve">04.02.01.0110. </t>
  </si>
  <si>
    <t xml:space="preserve">04.02.01.0120. </t>
  </si>
  <si>
    <t xml:space="preserve">04.02.01.0130. </t>
  </si>
  <si>
    <t>04.02.02.</t>
  </si>
  <si>
    <t xml:space="preserve">04.02.02.0010. </t>
  </si>
  <si>
    <t xml:space="preserve">04.02.02.0020. </t>
  </si>
  <si>
    <t xml:space="preserve">04.02.02.0030. </t>
  </si>
  <si>
    <t xml:space="preserve">04.02.02.0040. </t>
  </si>
  <si>
    <t xml:space="preserve">04.02.02.0050. </t>
  </si>
  <si>
    <t>Bo,XA</t>
  </si>
  <si>
    <t>Mietbereich Lorenz 2. + 3. OG</t>
  </si>
  <si>
    <t>Trockenbauarbeiten - Wände</t>
  </si>
  <si>
    <t>GK-Metallständerwand W112, F0, Q3, d= 100mm, 2x 12,5mm beidseitig GKB</t>
  </si>
  <si>
    <t>GK-Metallständerwand W112, F0, Q3, d= 125mm, 2x 12,5mm beidseitig GKB</t>
  </si>
  <si>
    <t>GK-Installationswand W116, F0,  Q3, h=3,30m</t>
  </si>
  <si>
    <t>GK-Installationswand W116, F0,  Q3, h=1,50m</t>
  </si>
  <si>
    <t>Zulage Spachtelung Q4</t>
  </si>
  <si>
    <t>Zulage für horizontale Beplankung Vorsatzschale, b=250mm, 2x 12,5 mm einseitig GKB</t>
  </si>
  <si>
    <t>Gleitenden Deckenanschluss</t>
  </si>
  <si>
    <t>Zulage Freistehende Wandenden</t>
  </si>
  <si>
    <t>Zulage Außenecken</t>
  </si>
  <si>
    <t>Zulage Übergangsprofil</t>
  </si>
  <si>
    <t>Anschluss Fassade Außenwand Fassadenschwert</t>
  </si>
  <si>
    <t>Türöffnung 1- flg., B/H 760 - 1010/2135 mm, WD 100 - 125 mm</t>
  </si>
  <si>
    <t>Türöffnung 1- flg. B/H 1135 - 1510/2135 mm, WD 100 - 125mm</t>
  </si>
  <si>
    <t>Türöffnung 2- flg. B/H 2010/2135 mm, WD 100 - 125mm</t>
  </si>
  <si>
    <t>Zulage zur eigentlichen Türöffnung (Türauschnitte verstärkt)</t>
  </si>
  <si>
    <t>Universal-Traverse für wandhängende Lasten</t>
  </si>
  <si>
    <t>Ausschnitte herstellen, Abmessungen bis 15 cm SL</t>
  </si>
  <si>
    <t>Ausschnitte herstellen, Abmessungen bis 30 cm SL</t>
  </si>
  <si>
    <t>Ausschnitte schließen, Abmessungen bis 15 cm SL</t>
  </si>
  <si>
    <t>Ausschnitte schließen, Abmessungen bis 30 cm SL</t>
  </si>
  <si>
    <t>Ausschnitte herstellen, Durchmesser bis 75 mm</t>
  </si>
  <si>
    <t>Ausschnitte herstellen, Durchmesser bis 150 mm</t>
  </si>
  <si>
    <t>Ausschnitte schließen, Durchmesser bis 75 mm</t>
  </si>
  <si>
    <t>Ausschnitte schließen, Durchmesser bis 150 mm</t>
  </si>
  <si>
    <t>Zulage für Ausschnitte in Deckenabschottung, bxh = 100 x 20cm</t>
  </si>
  <si>
    <t>Trockenbauarbeiten - GK-Decke</t>
  </si>
  <si>
    <t>D112 Unterdecke, F0, Q2, GKB 1x 12,5 mm</t>
  </si>
  <si>
    <t>Zulage 2-lagige Beplankung</t>
  </si>
  <si>
    <t>Zulage Bekleidung GKB-I, einseitig, 1x12,5mm</t>
  </si>
  <si>
    <t>Zulage Bekleidung GKB-I, einseitig, 2x12,5mm</t>
  </si>
  <si>
    <t>Zulage Verspachtelung Oberfläche  in Q3</t>
  </si>
  <si>
    <t>Wandanschluss mit Winkelprofil</t>
  </si>
  <si>
    <t>Kantenschutzprofil</t>
  </si>
  <si>
    <t>Öffnung herstellen, Abmessung bis 30cm SL (Beleuchtung)</t>
  </si>
  <si>
    <t>Öffnung herstellen, Durchmesser  bis Du =30cm (Beleuchtung)</t>
  </si>
  <si>
    <t>Revisionsklappe REVO 12,5 40x40 (Alutop)</t>
  </si>
  <si>
    <t>Revisionsklappe REVO 12,5 60x60 (Alutop)</t>
  </si>
  <si>
    <t>Revisionsklappe, REVO 12,5 40x40 (Alutop), F90</t>
  </si>
  <si>
    <t>Revisionsklappe REVO 12,5 60x60 (Alutop), F90</t>
  </si>
  <si>
    <t>Trockenbauarbeiten - Akustikdecke</t>
  </si>
  <si>
    <t>Akustikdecke inkl. umlaufenden Fries, Fabr. Knauf Cleaneo Akustikdecke D127</t>
  </si>
  <si>
    <t>Zulage für Wandanschluss mit Stufenwinklel und Schattenfuge</t>
  </si>
  <si>
    <t>Deckenschürze, senkrecht, 2x12,5mm GKB, h=ca.40cm</t>
  </si>
  <si>
    <t>Öffnungen für Leuchten/Lautsprecher o. ä., rund, bis Du=300mm</t>
  </si>
  <si>
    <t>Öffnungen für Leuchten/Lautsprecher o. ä., eckig, bis 300x300mm</t>
  </si>
  <si>
    <t>Trockenbauarbeiten - GK-Deckenschürze</t>
  </si>
  <si>
    <t>Deckenschürze,  h= ca.0,67 m (Alu-Blechdecke)</t>
  </si>
  <si>
    <t>Deckenschürze,  h= ca.0,90 m (Akustikdecke)</t>
  </si>
  <si>
    <t>Deckenabkofferung, b=ca. 1,50m, h=ca. 0,60m</t>
  </si>
  <si>
    <t>Zulage für Eckschutzprofil</t>
  </si>
  <si>
    <t>Mietbereich DWD EG + 4.OG</t>
  </si>
  <si>
    <t>GK-Metallständerwand W112, F0, Q3, d= 150mm, 2x 12,5mm beidseitig GKB</t>
  </si>
  <si>
    <t>GK-Metallständerwand W112, F90, Q3, d= 100mm, 2x 12,5mm beidseitig GKF</t>
  </si>
  <si>
    <t>Mietbereich Kone 1.OG</t>
  </si>
  <si>
    <t>Musterbüro 5.OG</t>
  </si>
  <si>
    <t>Zulage für Beplankung GKB-I, 2x 12,5 mm, einseitig</t>
  </si>
  <si>
    <t>m2</t>
  </si>
  <si>
    <t>m</t>
  </si>
  <si>
    <t>Stck</t>
  </si>
  <si>
    <t>Nettosumme [€]</t>
  </si>
  <si>
    <t>Nachlass</t>
  </si>
  <si>
    <t>Gesamtsumme netto [€]</t>
  </si>
  <si>
    <t>Nidda, den</t>
  </si>
  <si>
    <t>Budget:</t>
  </si>
  <si>
    <t>Titelzusammenstellung:</t>
  </si>
  <si>
    <t>NEP</t>
  </si>
  <si>
    <t>Mayer</t>
  </si>
  <si>
    <t>Pitkowski</t>
  </si>
  <si>
    <t>K+S Ausbau</t>
  </si>
  <si>
    <t>Interakustik</t>
  </si>
  <si>
    <t>05374-965910</t>
  </si>
  <si>
    <t>0611-97161227</t>
  </si>
  <si>
    <t>06172-9989450</t>
  </si>
  <si>
    <t>06043-8409</t>
  </si>
  <si>
    <t>Borsch</t>
  </si>
  <si>
    <t>0177/ 5075270</t>
  </si>
  <si>
    <t>ANGEBOT KORRIGIERT!</t>
  </si>
  <si>
    <t>4,5 Mio</t>
  </si>
  <si>
    <t>2,4 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</si>
</sst>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[$€-407]_-;\-* #,##0.00\ [$€-407]_-;_-* &quot;-&quot;??\ [$€-407]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0" fontId="2" fillId="0" borderId="4" xfId="0" applyFont="1" applyBorder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14" fontId="2" fillId="0" borderId="5" xfId="0" applyNumberFormat="1" applyFont="1" applyBorder="1"/>
    <xf numFmtId="0" fontId="2" fillId="0" borderId="6" xfId="0" applyFont="1" applyBorder="1"/>
    <xf numFmtId="0" fontId="3" fillId="0" borderId="4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12" xfId="0" applyFont="1" applyBorder="1" applyAlignment="1">
      <alignment horizontal="center"/>
    </xf>
    <xf numFmtId="0" fontId="2" fillId="2" borderId="1" xfId="0" applyFont="1" applyFill="1" applyBorder="1"/>
    <xf numFmtId="0" fontId="2" fillId="2" borderId="3" xfId="0" applyFont="1" applyFill="1" applyBorder="1"/>
    <xf numFmtId="0" fontId="2" fillId="0" borderId="5" xfId="0" applyFont="1" applyBorder="1"/>
    <xf numFmtId="0" fontId="4" fillId="0" borderId="4" xfId="0" applyFont="1" applyBorder="1"/>
    <xf numFmtId="0" fontId="5" fillId="0" borderId="4" xfId="0" applyFont="1" applyBorder="1"/>
    <xf numFmtId="0" fontId="5" fillId="0" borderId="5" xfId="0" applyFont="1" applyBorder="1"/>
    <xf numFmtId="0" fontId="2" fillId="0" borderId="11" xfId="0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0" xfId="1" applyFont="1" applyAlignment="1">
      <alignment horizontal="center"/>
    </xf>
    <xf numFmtId="43" fontId="2" fillId="0" borderId="0" xfId="1" applyFont="1" applyAlignment="1">
      <alignment horizontal="center"/>
    </xf>
    <xf numFmtId="43" fontId="2" fillId="0" borderId="7" xfId="1" applyFont="1" applyBorder="1" applyAlignment="1">
      <alignment horizontal="center"/>
    </xf>
    <xf numFmtId="43" fontId="2" fillId="0" borderId="11" xfId="1" applyFont="1" applyBorder="1" applyAlignment="1">
      <alignment horizontal="center"/>
    </xf>
    <xf numFmtId="0" fontId="1" fillId="0" borderId="0" xfId="0" applyFont="1"/>
    <xf numFmtId="0" fontId="1" fillId="0" borderId="14" xfId="0" applyFont="1" applyBorder="1"/>
    <xf numFmtId="4" fontId="1" fillId="0" borderId="16" xfId="0" applyNumberFormat="1" applyFont="1" applyBorder="1"/>
    <xf numFmtId="164" fontId="1" fillId="0" borderId="17" xfId="0" applyNumberFormat="1" applyFont="1" applyBorder="1"/>
    <xf numFmtId="0" fontId="8" fillId="3" borderId="14" xfId="0" applyFont="1" applyFill="1" applyBorder="1"/>
    <xf numFmtId="4" fontId="8" fillId="0" borderId="16" xfId="0" applyNumberFormat="1" applyFont="1" applyBorder="1"/>
    <xf numFmtId="164" fontId="8" fillId="0" borderId="17" xfId="0" applyNumberFormat="1" applyFont="1" applyBorder="1"/>
    <xf numFmtId="164" fontId="1" fillId="0" borderId="17" xfId="0" applyNumberFormat="1" applyFont="1" applyBorder="1" applyAlignment="1">
      <alignment horizontal="right"/>
    </xf>
    <xf numFmtId="0" fontId="8" fillId="3" borderId="13" xfId="0" applyFont="1" applyFill="1" applyBorder="1"/>
    <xf numFmtId="4" fontId="8" fillId="3" borderId="18" xfId="0" applyNumberFormat="1" applyFont="1" applyFill="1" applyBorder="1"/>
    <xf numFmtId="164" fontId="8" fillId="3" borderId="19" xfId="0" applyNumberFormat="1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0" xfId="0" applyFont="1"/>
    <xf numFmtId="0" fontId="1" fillId="3" borderId="14" xfId="0" applyFont="1" applyFill="1" applyBorder="1"/>
    <xf numFmtId="0" fontId="8" fillId="2" borderId="20" xfId="0" applyFont="1" applyFill="1" applyBorder="1"/>
    <xf numFmtId="0" fontId="8" fillId="2" borderId="21" xfId="0" applyFont="1" applyFill="1" applyBorder="1"/>
    <xf numFmtId="4" fontId="8" fillId="2" borderId="22" xfId="0" applyNumberFormat="1" applyFont="1" applyFill="1" applyBorder="1"/>
    <xf numFmtId="164" fontId="8" fillId="2" borderId="23" xfId="0" applyNumberFormat="1" applyFont="1" applyFill="1" applyBorder="1"/>
    <xf numFmtId="0" fontId="8" fillId="2" borderId="24" xfId="0" applyFont="1" applyFill="1" applyBorder="1"/>
    <xf numFmtId="0" fontId="8" fillId="2" borderId="14" xfId="0" applyFont="1" applyFill="1" applyBorder="1"/>
    <xf numFmtId="10" fontId="8" fillId="2" borderId="16" xfId="0" applyNumberFormat="1" applyFont="1" applyFill="1" applyBorder="1"/>
    <xf numFmtId="164" fontId="8" fillId="2" borderId="17" xfId="0" applyNumberFormat="1" applyFont="1" applyFill="1" applyBorder="1"/>
    <xf numFmtId="0" fontId="8" fillId="2" borderId="25" xfId="0" applyFont="1" applyFill="1" applyBorder="1"/>
    <xf numFmtId="0" fontId="8" fillId="2" borderId="26" xfId="0" applyFont="1" applyFill="1" applyBorder="1"/>
    <xf numFmtId="4" fontId="8" fillId="2" borderId="27" xfId="0" applyNumberFormat="1" applyFont="1" applyFill="1" applyBorder="1"/>
    <xf numFmtId="164" fontId="8" fillId="2" borderId="28" xfId="0" applyNumberFormat="1" applyFont="1" applyFill="1" applyBorder="1"/>
    <xf numFmtId="4" fontId="1" fillId="0" borderId="0" xfId="0" applyNumberFormat="1" applyFont="1"/>
    <xf numFmtId="0" fontId="9" fillId="0" borderId="0" xfId="0" applyFont="1"/>
    <xf numFmtId="43" fontId="1" fillId="0" borderId="16" xfId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43" fontId="8" fillId="0" borderId="16" xfId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43" fontId="8" fillId="3" borderId="18" xfId="1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43" fontId="8" fillId="2" borderId="22" xfId="1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43" fontId="8" fillId="2" borderId="16" xfId="1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43" fontId="8" fillId="2" borderId="27" xfId="1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43" fontId="1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164" fontId="10" fillId="0" borderId="16" xfId="0" applyNumberFormat="1" applyFont="1" applyBorder="1"/>
    <xf numFmtId="164" fontId="11" fillId="0" borderId="16" xfId="0" applyNumberFormat="1" applyFont="1" applyBorder="1"/>
    <xf numFmtId="4" fontId="7" fillId="0" borderId="16" xfId="0" applyNumberFormat="1" applyFont="1" applyBorder="1"/>
    <xf numFmtId="4" fontId="1" fillId="4" borderId="16" xfId="0" applyNumberFormat="1" applyFont="1" applyFill="1" applyBorder="1"/>
    <xf numFmtId="14" fontId="2" fillId="0" borderId="4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8" xfId="0" applyFont="1" applyBorder="1" applyAlignment="1">
      <alignment horizontal="right"/>
    </xf>
  </cellXfs>
  <cellStyles count="2">
    <cellStyle name="Komma" xfId="1" builtinId="3"/>
    <cellStyle name="Standard" xfId="0" builtinId="0"/>
  </cellStyles>
  <dxfs count="3"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terloh, Karola" id="{2DCB9D89-AF17-4D86-BE1F-E4BA67CB3B85}" userId="S::Karola.Osterloh@lupp.de::150d8b44-e214-4dc2-9bef-ebb6628ce79f" providerId="AD"/>
</personList>
</file>

<file path=xl/theme/theme1.xml><?xml version="1.0" encoding="utf-8"?>
<a:theme xmlns:a="http://schemas.openxmlformats.org/drawingml/2006/main" name="Office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78" dT="2024-11-14T09:33:42.85" personId="{2DCB9D89-AF17-4D86-BE1F-E4BA67CB3B85}" id="{F8EFC6CC-F4DF-4582-BF02-2A6D0030A626}">
    <text>148,00 €/m vorher. Pos.</text>
  </threadedComment>
  <threadedComment ref="P181" dT="2024-11-14T09:32:19.19" personId="{2DCB9D89-AF17-4D86-BE1F-E4BA67CB3B85}" id="{37BB3404-7A11-475B-849B-D3BC13D9898E}">
    <text>EP fehlt, aus vergleichb. Pos. übernommen</text>
  </threadedComment>
  <threadedComment ref="P187" dT="2024-11-14T09:33:42.85" personId="{2DCB9D89-AF17-4D86-BE1F-E4BA67CB3B85}" id="{85143BF8-4F4A-4762-BA14-30BA5AD61A0B}">
    <text>148,00 €/m vorher. Pos.</text>
  </threadedComment>
  <threadedComment ref="P189" dT="2024-11-14T09:34:22.57" personId="{2DCB9D89-AF17-4D86-BE1F-E4BA67CB3B85}" id="{ACC74C86-15DA-4CF8-AD7D-3EEB9251AA2D}">
    <text>420,00 €/ Stck aus vorher. Pos.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650D-7E81-4EE1-BB14-014EDA9F6DBA}">
  <sheetPr>
    <pageSetUpPr fitToPage="1"/>
  </sheetPr>
  <dimension ref="A1:U255"/>
  <sheetViews>
    <sheetView tabSelected="1" zoomScale="70" zoomScaleNormal="70" workbookViewId="0">
      <pane xSplit="5" ySplit="9" topLeftCell="F218" activePane="bottomRight" state="frozen"/>
      <selection pane="topRight" activeCell="F1" sqref="F1"/>
      <selection pane="bottomLeft" activeCell="A10" sqref="A10"/>
      <selection pane="bottomRight" activeCell="F1" sqref="F1:I1048576"/>
    </sheetView>
  </sheetViews>
  <sheetFormatPr baseColWidth="10" defaultRowHeight="13.8" x14ac:dyDescent="0.25"/>
  <cols>
    <col min="1" max="1" width="14.44140625" style="30" customWidth="1"/>
    <col min="2" max="2" width="8.33203125" style="30" hidden="1" customWidth="1"/>
    <col min="3" max="3" width="83.77734375" style="30" bestFit="1" customWidth="1"/>
    <col min="4" max="4" width="10.109375" style="71" bestFit="1" customWidth="1"/>
    <col min="5" max="5" width="8.109375" style="72" customWidth="1"/>
    <col min="6" max="6" width="14.88671875" style="57" hidden="1" customWidth="1"/>
    <col min="7" max="7" width="14.6640625" style="57" hidden="1" customWidth="1"/>
    <col min="8" max="8" width="14.88671875" style="57" hidden="1" customWidth="1"/>
    <col min="9" max="9" width="14" style="57" hidden="1" customWidth="1"/>
    <col min="10" max="10" width="14.88671875" style="57" bestFit="1" customWidth="1"/>
    <col min="11" max="11" width="14.6640625" style="57" bestFit="1" customWidth="1"/>
    <col min="12" max="12" width="14.88671875" style="57" bestFit="1" customWidth="1"/>
    <col min="13" max="13" width="14" style="57" bestFit="1" customWidth="1"/>
    <col min="14" max="14" width="14.88671875" style="57" bestFit="1" customWidth="1"/>
    <col min="15" max="15" width="15" style="57" bestFit="1" customWidth="1"/>
    <col min="16" max="16" width="14.88671875" style="57" bestFit="1" customWidth="1"/>
    <col min="17" max="17" width="18" style="57" customWidth="1"/>
    <col min="18" max="18" width="14.88671875" style="57" bestFit="1" customWidth="1"/>
    <col min="19" max="19" width="14.6640625" style="57" bestFit="1" customWidth="1"/>
    <col min="20" max="20" width="14.88671875" style="57" bestFit="1" customWidth="1"/>
    <col min="21" max="21" width="14" style="57" bestFit="1" customWidth="1"/>
    <col min="22" max="16384" width="11.5546875" style="30"/>
  </cols>
  <sheetData>
    <row r="1" spans="1:21" x14ac:dyDescent="0.25">
      <c r="A1" s="1" t="s">
        <v>0</v>
      </c>
      <c r="B1" s="2"/>
      <c r="C1" s="3" t="s">
        <v>17</v>
      </c>
      <c r="D1" s="25"/>
      <c r="E1" s="4"/>
      <c r="F1" s="18" t="s">
        <v>1</v>
      </c>
      <c r="G1" s="19" t="s">
        <v>289</v>
      </c>
      <c r="H1" s="18" t="s">
        <v>1</v>
      </c>
      <c r="I1" s="19" t="s">
        <v>297</v>
      </c>
      <c r="J1" s="18" t="s">
        <v>1</v>
      </c>
      <c r="K1" s="19" t="s">
        <v>289</v>
      </c>
      <c r="L1" s="18" t="s">
        <v>1</v>
      </c>
      <c r="M1" s="19" t="s">
        <v>297</v>
      </c>
      <c r="N1" s="18" t="s">
        <v>1</v>
      </c>
      <c r="O1" s="19" t="s">
        <v>290</v>
      </c>
      <c r="P1" s="18" t="s">
        <v>1</v>
      </c>
      <c r="Q1" s="19" t="s">
        <v>291</v>
      </c>
      <c r="R1" s="18" t="s">
        <v>1</v>
      </c>
      <c r="S1" s="19" t="s">
        <v>292</v>
      </c>
      <c r="T1" s="18" t="s">
        <v>1</v>
      </c>
      <c r="U1" s="19"/>
    </row>
    <row r="2" spans="1:21" x14ac:dyDescent="0.25">
      <c r="A2" s="5"/>
      <c r="B2" s="6"/>
      <c r="C2" s="7"/>
      <c r="D2" s="26"/>
      <c r="E2" s="8"/>
      <c r="F2" s="5" t="s">
        <v>2</v>
      </c>
      <c r="G2" s="20" t="s">
        <v>296</v>
      </c>
      <c r="H2" s="5" t="s">
        <v>2</v>
      </c>
      <c r="I2" s="20" t="s">
        <v>298</v>
      </c>
      <c r="J2" s="5" t="s">
        <v>2</v>
      </c>
      <c r="K2" s="20" t="s">
        <v>296</v>
      </c>
      <c r="L2" s="5" t="s">
        <v>2</v>
      </c>
      <c r="M2" s="20" t="s">
        <v>298</v>
      </c>
      <c r="N2" s="5" t="s">
        <v>2</v>
      </c>
      <c r="O2" s="20" t="s">
        <v>294</v>
      </c>
      <c r="P2" s="5" t="s">
        <v>2</v>
      </c>
      <c r="Q2" s="20" t="s">
        <v>295</v>
      </c>
      <c r="R2" s="5" t="s">
        <v>2</v>
      </c>
      <c r="S2" s="20" t="s">
        <v>293</v>
      </c>
      <c r="T2" s="5" t="s">
        <v>2</v>
      </c>
      <c r="U2" s="20"/>
    </row>
    <row r="3" spans="1:21" ht="14.4" thickBot="1" x14ac:dyDescent="0.3">
      <c r="A3" s="5" t="s">
        <v>3</v>
      </c>
      <c r="B3" s="6"/>
      <c r="C3" s="7" t="s">
        <v>18</v>
      </c>
      <c r="D3" s="26"/>
      <c r="E3" s="8"/>
      <c r="F3" s="10" t="s">
        <v>4</v>
      </c>
      <c r="G3" s="9">
        <v>45595</v>
      </c>
      <c r="H3" s="10" t="s">
        <v>4</v>
      </c>
      <c r="I3" s="9">
        <v>45609</v>
      </c>
      <c r="J3" s="10" t="s">
        <v>4</v>
      </c>
      <c r="K3" s="9">
        <v>45595</v>
      </c>
      <c r="L3" s="10" t="s">
        <v>4</v>
      </c>
      <c r="M3" s="9">
        <v>45609</v>
      </c>
      <c r="N3" s="10" t="s">
        <v>4</v>
      </c>
      <c r="O3" s="9">
        <v>45601</v>
      </c>
      <c r="P3" s="10" t="s">
        <v>4</v>
      </c>
      <c r="Q3" s="9">
        <v>45595</v>
      </c>
      <c r="R3" s="10" t="s">
        <v>4</v>
      </c>
      <c r="S3" s="9">
        <v>45607</v>
      </c>
      <c r="T3" s="10" t="s">
        <v>4</v>
      </c>
      <c r="U3" s="9"/>
    </row>
    <row r="4" spans="1:21" x14ac:dyDescent="0.25">
      <c r="A4" s="11"/>
      <c r="B4" s="6"/>
      <c r="C4" s="6"/>
      <c r="D4" s="26"/>
      <c r="E4" s="8"/>
      <c r="F4" s="21" t="s">
        <v>5</v>
      </c>
      <c r="G4" s="20"/>
      <c r="H4" s="21" t="s">
        <v>5</v>
      </c>
      <c r="I4" s="20"/>
      <c r="J4" s="21" t="s">
        <v>5</v>
      </c>
      <c r="K4" s="20"/>
      <c r="L4" s="21" t="s">
        <v>5</v>
      </c>
      <c r="M4" s="20"/>
      <c r="N4" s="21" t="s">
        <v>5</v>
      </c>
      <c r="O4" s="20"/>
      <c r="P4" s="21" t="s">
        <v>5</v>
      </c>
      <c r="Q4" s="20"/>
      <c r="R4" s="21" t="s">
        <v>5</v>
      </c>
      <c r="S4" s="20"/>
      <c r="T4" s="21" t="s">
        <v>5</v>
      </c>
      <c r="U4" s="20"/>
    </row>
    <row r="5" spans="1:21" x14ac:dyDescent="0.25">
      <c r="A5" s="11"/>
      <c r="B5" s="6"/>
      <c r="C5" s="6"/>
      <c r="D5" s="26"/>
      <c r="E5" s="8"/>
      <c r="F5" s="22" t="s">
        <v>6</v>
      </c>
      <c r="G5" s="23" t="s">
        <v>7</v>
      </c>
      <c r="H5" s="22" t="s">
        <v>6</v>
      </c>
      <c r="I5" s="23" t="s">
        <v>7</v>
      </c>
      <c r="J5" s="22" t="s">
        <v>6</v>
      </c>
      <c r="K5" s="23" t="s">
        <v>7</v>
      </c>
      <c r="L5" s="22" t="s">
        <v>6</v>
      </c>
      <c r="M5" s="23" t="s">
        <v>7</v>
      </c>
      <c r="N5" s="22" t="s">
        <v>6</v>
      </c>
      <c r="O5" s="23" t="s">
        <v>7</v>
      </c>
      <c r="P5" s="22" t="s">
        <v>6</v>
      </c>
      <c r="Q5" s="23" t="s">
        <v>7</v>
      </c>
      <c r="R5" s="22" t="s">
        <v>6</v>
      </c>
      <c r="S5" s="23" t="s">
        <v>7</v>
      </c>
      <c r="T5" s="22" t="s">
        <v>6</v>
      </c>
      <c r="U5" s="23" t="s">
        <v>7</v>
      </c>
    </row>
    <row r="6" spans="1:21" s="43" customFormat="1" x14ac:dyDescent="0.25">
      <c r="A6" s="5"/>
      <c r="B6" s="7"/>
      <c r="C6" s="7"/>
      <c r="D6" s="27"/>
      <c r="E6" s="12"/>
      <c r="F6" s="77">
        <v>45377</v>
      </c>
      <c r="G6" s="78">
        <v>190</v>
      </c>
      <c r="H6" s="77">
        <v>45517</v>
      </c>
      <c r="I6" s="78">
        <v>273</v>
      </c>
      <c r="J6" s="77">
        <v>45377</v>
      </c>
      <c r="K6" s="78">
        <v>190</v>
      </c>
      <c r="L6" s="77">
        <v>45517</v>
      </c>
      <c r="M6" s="78">
        <v>273</v>
      </c>
      <c r="N6" s="79"/>
      <c r="O6" s="78"/>
      <c r="P6" s="79"/>
      <c r="Q6" s="78"/>
      <c r="R6" s="79"/>
      <c r="S6" s="78"/>
      <c r="T6" s="79"/>
      <c r="U6" s="78"/>
    </row>
    <row r="7" spans="1:21" x14ac:dyDescent="0.25">
      <c r="A7" s="11"/>
      <c r="B7" s="6"/>
      <c r="C7" s="6"/>
      <c r="D7" s="26"/>
      <c r="E7" s="8"/>
      <c r="F7" s="22" t="s">
        <v>8</v>
      </c>
      <c r="G7" s="23" t="s">
        <v>9</v>
      </c>
      <c r="H7" s="22" t="s">
        <v>8</v>
      </c>
      <c r="I7" s="23" t="s">
        <v>9</v>
      </c>
      <c r="J7" s="22" t="s">
        <v>8</v>
      </c>
      <c r="K7" s="23" t="s">
        <v>9</v>
      </c>
      <c r="L7" s="22" t="s">
        <v>8</v>
      </c>
      <c r="M7" s="23" t="s">
        <v>9</v>
      </c>
      <c r="N7" s="22" t="s">
        <v>8</v>
      </c>
      <c r="O7" s="23" t="s">
        <v>9</v>
      </c>
      <c r="P7" s="22" t="s">
        <v>8</v>
      </c>
      <c r="Q7" s="23" t="s">
        <v>9</v>
      </c>
      <c r="R7" s="22" t="s">
        <v>8</v>
      </c>
      <c r="S7" s="23" t="s">
        <v>9</v>
      </c>
      <c r="T7" s="22" t="s">
        <v>8</v>
      </c>
      <c r="U7" s="23" t="s">
        <v>9</v>
      </c>
    </row>
    <row r="8" spans="1:21" s="43" customFormat="1" ht="14.4" thickBot="1" x14ac:dyDescent="0.3">
      <c r="A8" s="10"/>
      <c r="B8" s="13"/>
      <c r="C8" s="13"/>
      <c r="D8" s="28"/>
      <c r="E8" s="14"/>
      <c r="F8" s="80">
        <v>32</v>
      </c>
      <c r="G8" s="81" t="s">
        <v>300</v>
      </c>
      <c r="H8" s="80">
        <v>20</v>
      </c>
      <c r="I8" s="81" t="s">
        <v>301</v>
      </c>
      <c r="J8" s="80">
        <v>32</v>
      </c>
      <c r="K8" s="81" t="s">
        <v>300</v>
      </c>
      <c r="L8" s="80">
        <v>20</v>
      </c>
      <c r="M8" s="81" t="s">
        <v>301</v>
      </c>
      <c r="N8" s="80"/>
      <c r="O8" s="81"/>
      <c r="P8" s="80"/>
      <c r="Q8" s="81"/>
      <c r="R8" s="80"/>
      <c r="S8" s="81"/>
      <c r="T8" s="80"/>
      <c r="U8" s="81"/>
    </row>
    <row r="9" spans="1:21" ht="14.4" thickBot="1" x14ac:dyDescent="0.3">
      <c r="A9" s="15" t="s">
        <v>10</v>
      </c>
      <c r="B9" s="15" t="s">
        <v>11</v>
      </c>
      <c r="C9" s="16" t="s">
        <v>12</v>
      </c>
      <c r="D9" s="29" t="s">
        <v>13</v>
      </c>
      <c r="E9" s="17" t="s">
        <v>14</v>
      </c>
      <c r="F9" s="24" t="s">
        <v>15</v>
      </c>
      <c r="G9" s="17" t="s">
        <v>16</v>
      </c>
      <c r="H9" s="24" t="s">
        <v>15</v>
      </c>
      <c r="I9" s="17" t="s">
        <v>16</v>
      </c>
      <c r="J9" s="24" t="s">
        <v>15</v>
      </c>
      <c r="K9" s="17" t="s">
        <v>16</v>
      </c>
      <c r="L9" s="24" t="s">
        <v>15</v>
      </c>
      <c r="M9" s="17" t="s">
        <v>16</v>
      </c>
      <c r="N9" s="24" t="s">
        <v>15</v>
      </c>
      <c r="O9" s="17" t="s">
        <v>16</v>
      </c>
      <c r="P9" s="24" t="s">
        <v>15</v>
      </c>
      <c r="Q9" s="17" t="s">
        <v>16</v>
      </c>
      <c r="R9" s="24" t="s">
        <v>15</v>
      </c>
      <c r="S9" s="17" t="s">
        <v>16</v>
      </c>
      <c r="T9" s="24" t="s">
        <v>15</v>
      </c>
      <c r="U9" s="17" t="s">
        <v>16</v>
      </c>
    </row>
    <row r="10" spans="1:21" ht="14.4" customHeight="1" x14ac:dyDescent="0.25">
      <c r="A10" s="31"/>
      <c r="B10" s="31"/>
      <c r="C10" s="31"/>
      <c r="D10" s="59"/>
      <c r="E10" s="60"/>
      <c r="F10" s="32"/>
      <c r="G10" s="33"/>
      <c r="H10" s="32"/>
      <c r="I10" s="33"/>
      <c r="J10" s="32"/>
      <c r="K10" s="33"/>
      <c r="L10" s="32"/>
      <c r="M10" s="33"/>
      <c r="N10" s="32"/>
      <c r="O10" s="33"/>
      <c r="P10" s="32" t="s">
        <v>299</v>
      </c>
      <c r="Q10" s="33"/>
      <c r="R10" s="32"/>
      <c r="S10" s="33"/>
      <c r="T10" s="32"/>
      <c r="U10" s="33"/>
    </row>
    <row r="11" spans="1:21" ht="14.4" customHeight="1" x14ac:dyDescent="0.25">
      <c r="A11" s="34" t="s">
        <v>19</v>
      </c>
      <c r="B11" s="34"/>
      <c r="C11" s="34" t="s">
        <v>221</v>
      </c>
      <c r="D11" s="61"/>
      <c r="E11" s="62"/>
      <c r="F11" s="35"/>
      <c r="G11" s="36"/>
      <c r="H11" s="35"/>
      <c r="I11" s="36"/>
      <c r="J11" s="35"/>
      <c r="K11" s="36"/>
      <c r="L11" s="35"/>
      <c r="M11" s="36"/>
      <c r="N11" s="35"/>
      <c r="O11" s="36"/>
      <c r="P11" s="35"/>
      <c r="Q11" s="36"/>
      <c r="R11" s="35"/>
      <c r="S11" s="36"/>
      <c r="T11" s="35"/>
      <c r="U11" s="36"/>
    </row>
    <row r="12" spans="1:21" ht="14.4" customHeight="1" x14ac:dyDescent="0.25">
      <c r="A12" s="31" t="s">
        <v>21</v>
      </c>
      <c r="B12" s="31"/>
      <c r="C12" s="31" t="s">
        <v>223</v>
      </c>
      <c r="D12" s="59">
        <v>1009</v>
      </c>
      <c r="E12" s="60" t="s">
        <v>279</v>
      </c>
      <c r="F12" s="32">
        <f>J12</f>
        <v>54</v>
      </c>
      <c r="G12" s="33">
        <f>$D12*F12</f>
        <v>54486</v>
      </c>
      <c r="H12" s="32">
        <f>L12</f>
        <v>59</v>
      </c>
      <c r="I12" s="33">
        <f>$D12*H12</f>
        <v>59531</v>
      </c>
      <c r="J12" s="32">
        <v>54</v>
      </c>
      <c r="K12" s="33">
        <f>$D12*J12</f>
        <v>54486</v>
      </c>
      <c r="L12" s="32">
        <v>59</v>
      </c>
      <c r="M12" s="33">
        <f>$D12*L12</f>
        <v>59531</v>
      </c>
      <c r="N12" s="32">
        <v>59.95</v>
      </c>
      <c r="O12" s="33">
        <f>$D12*N12</f>
        <v>60489.55</v>
      </c>
      <c r="P12" s="32">
        <v>54.1</v>
      </c>
      <c r="Q12" s="33">
        <f>$D12*P12</f>
        <v>54586.9</v>
      </c>
      <c r="R12" s="32">
        <v>59.9</v>
      </c>
      <c r="S12" s="33">
        <f>$D12*R12</f>
        <v>60439.1</v>
      </c>
      <c r="T12" s="32"/>
      <c r="U12" s="33">
        <f>$D12*T12</f>
        <v>0</v>
      </c>
    </row>
    <row r="13" spans="1:21" ht="14.4" customHeight="1" x14ac:dyDescent="0.25">
      <c r="A13" s="31" t="s">
        <v>22</v>
      </c>
      <c r="B13" s="31"/>
      <c r="C13" s="31" t="s">
        <v>224</v>
      </c>
      <c r="D13" s="59">
        <v>225</v>
      </c>
      <c r="E13" s="60" t="s">
        <v>279</v>
      </c>
      <c r="F13" s="32">
        <f t="shared" ref="F13:F36" si="0">J13</f>
        <v>56</v>
      </c>
      <c r="G13" s="33">
        <f t="shared" ref="G13:G27" si="1">$D13*F13</f>
        <v>12600</v>
      </c>
      <c r="H13" s="32">
        <f t="shared" ref="H13:H36" si="2">L13</f>
        <v>59.9</v>
      </c>
      <c r="I13" s="33">
        <f>$D13*H13</f>
        <v>13477.5</v>
      </c>
      <c r="J13" s="32">
        <v>56</v>
      </c>
      <c r="K13" s="33">
        <f>$D13*J13</f>
        <v>12600</v>
      </c>
      <c r="L13" s="32">
        <v>59.9</v>
      </c>
      <c r="M13" s="33">
        <f>$D13*L13</f>
        <v>13477.5</v>
      </c>
      <c r="N13" s="32">
        <v>60.95</v>
      </c>
      <c r="O13" s="33">
        <f t="shared" ref="O13" si="3">$D13*N13</f>
        <v>13713.75</v>
      </c>
      <c r="P13" s="32">
        <v>55.25</v>
      </c>
      <c r="Q13" s="33">
        <f t="shared" ref="Q13:Q15" si="4">$D13*P13</f>
        <v>12431.25</v>
      </c>
      <c r="R13" s="32">
        <v>62.6</v>
      </c>
      <c r="S13" s="33">
        <f t="shared" ref="S13" si="5">$D13*R13</f>
        <v>14085</v>
      </c>
      <c r="T13" s="32"/>
      <c r="U13" s="33">
        <f>$D13*T13</f>
        <v>0</v>
      </c>
    </row>
    <row r="14" spans="1:21" ht="14.4" customHeight="1" x14ac:dyDescent="0.25">
      <c r="A14" s="31" t="s">
        <v>23</v>
      </c>
      <c r="B14" s="31"/>
      <c r="C14" s="31" t="s">
        <v>225</v>
      </c>
      <c r="D14" s="59">
        <v>26</v>
      </c>
      <c r="E14" s="60" t="s">
        <v>279</v>
      </c>
      <c r="F14" s="32">
        <f t="shared" si="0"/>
        <v>65</v>
      </c>
      <c r="G14" s="33">
        <f t="shared" si="1"/>
        <v>1690</v>
      </c>
      <c r="H14" s="32">
        <f t="shared" si="2"/>
        <v>66</v>
      </c>
      <c r="I14" s="33">
        <f>$D14*H14</f>
        <v>1716</v>
      </c>
      <c r="J14" s="32">
        <v>65</v>
      </c>
      <c r="K14" s="33">
        <f>$D14*J14</f>
        <v>1690</v>
      </c>
      <c r="L14" s="32">
        <v>66</v>
      </c>
      <c r="M14" s="33">
        <f>$D14*L14</f>
        <v>1716</v>
      </c>
      <c r="N14" s="32">
        <v>85.5</v>
      </c>
      <c r="O14" s="33">
        <f t="shared" ref="O14" si="6">$D14*N14</f>
        <v>2223</v>
      </c>
      <c r="P14" s="32">
        <v>77.5</v>
      </c>
      <c r="Q14" s="33">
        <f t="shared" si="4"/>
        <v>2015</v>
      </c>
      <c r="R14" s="32">
        <v>77.8</v>
      </c>
      <c r="S14" s="33">
        <f t="shared" ref="S14" si="7">$D14*R14</f>
        <v>2022.8</v>
      </c>
      <c r="T14" s="32"/>
      <c r="U14" s="33">
        <f>$D14*T14</f>
        <v>0</v>
      </c>
    </row>
    <row r="15" spans="1:21" ht="14.4" customHeight="1" x14ac:dyDescent="0.25">
      <c r="A15" s="31" t="s">
        <v>24</v>
      </c>
      <c r="B15" s="31"/>
      <c r="C15" s="31" t="s">
        <v>226</v>
      </c>
      <c r="D15" s="59">
        <v>12</v>
      </c>
      <c r="E15" s="60" t="s">
        <v>279</v>
      </c>
      <c r="F15" s="32">
        <f t="shared" si="0"/>
        <v>65</v>
      </c>
      <c r="G15" s="33">
        <f t="shared" si="1"/>
        <v>780</v>
      </c>
      <c r="H15" s="32">
        <f t="shared" si="2"/>
        <v>69</v>
      </c>
      <c r="I15" s="33">
        <f>$D15*H15</f>
        <v>828</v>
      </c>
      <c r="J15" s="32">
        <v>65</v>
      </c>
      <c r="K15" s="33">
        <f>$D15*J15</f>
        <v>780</v>
      </c>
      <c r="L15" s="32">
        <v>69</v>
      </c>
      <c r="M15" s="33">
        <f>$D15*L15</f>
        <v>828</v>
      </c>
      <c r="N15" s="32">
        <v>95</v>
      </c>
      <c r="O15" s="33">
        <f t="shared" ref="O15" si="8">$D15*N15</f>
        <v>1140</v>
      </c>
      <c r="P15" s="32">
        <v>79.900000000000006</v>
      </c>
      <c r="Q15" s="33">
        <f t="shared" si="4"/>
        <v>958.80000000000007</v>
      </c>
      <c r="R15" s="32">
        <v>97.2</v>
      </c>
      <c r="S15" s="33">
        <f t="shared" ref="S15" si="9">$D15*R15</f>
        <v>1166.4000000000001</v>
      </c>
      <c r="T15" s="32"/>
      <c r="U15" s="33">
        <f>$D15*T15</f>
        <v>0</v>
      </c>
    </row>
    <row r="16" spans="1:21" ht="14.4" customHeight="1" x14ac:dyDescent="0.25">
      <c r="A16" s="31" t="s">
        <v>25</v>
      </c>
      <c r="B16" s="31" t="s">
        <v>220</v>
      </c>
      <c r="C16" s="31" t="s">
        <v>227</v>
      </c>
      <c r="D16" s="59">
        <v>10</v>
      </c>
      <c r="E16" s="60" t="s">
        <v>279</v>
      </c>
      <c r="F16" s="32">
        <f t="shared" si="0"/>
        <v>6.95</v>
      </c>
      <c r="G16" s="33" t="s">
        <v>288</v>
      </c>
      <c r="H16" s="32">
        <f t="shared" si="2"/>
        <v>19.75</v>
      </c>
      <c r="I16" s="33" t="s">
        <v>288</v>
      </c>
      <c r="J16" s="32">
        <v>6.95</v>
      </c>
      <c r="K16" s="33" t="s">
        <v>288</v>
      </c>
      <c r="L16" s="32">
        <v>19.75</v>
      </c>
      <c r="M16" s="33" t="s">
        <v>288</v>
      </c>
      <c r="N16" s="32">
        <v>5</v>
      </c>
      <c r="O16" s="33" t="s">
        <v>288</v>
      </c>
      <c r="P16" s="32">
        <v>18</v>
      </c>
      <c r="Q16" s="33" t="s">
        <v>288</v>
      </c>
      <c r="R16" s="32">
        <v>112.9</v>
      </c>
      <c r="S16" s="33" t="s">
        <v>288</v>
      </c>
      <c r="T16" s="32"/>
      <c r="U16" s="37" t="s">
        <v>288</v>
      </c>
    </row>
    <row r="17" spans="1:21" ht="14.4" customHeight="1" x14ac:dyDescent="0.25">
      <c r="A17" s="31" t="s">
        <v>26</v>
      </c>
      <c r="B17" s="31" t="s">
        <v>220</v>
      </c>
      <c r="C17" s="31" t="s">
        <v>228</v>
      </c>
      <c r="D17" s="59">
        <v>1</v>
      </c>
      <c r="E17" s="60" t="s">
        <v>279</v>
      </c>
      <c r="F17" s="32">
        <f t="shared" si="0"/>
        <v>2</v>
      </c>
      <c r="G17" s="33" t="s">
        <v>288</v>
      </c>
      <c r="H17" s="32">
        <f t="shared" si="2"/>
        <v>29</v>
      </c>
      <c r="I17" s="33" t="s">
        <v>288</v>
      </c>
      <c r="J17" s="32">
        <v>2</v>
      </c>
      <c r="K17" s="33" t="s">
        <v>288</v>
      </c>
      <c r="L17" s="32">
        <v>29</v>
      </c>
      <c r="M17" s="33" t="s">
        <v>288</v>
      </c>
      <c r="N17" s="32">
        <v>6.5</v>
      </c>
      <c r="O17" s="33" t="s">
        <v>288</v>
      </c>
      <c r="P17" s="32">
        <v>46.2</v>
      </c>
      <c r="Q17" s="33" t="s">
        <v>288</v>
      </c>
      <c r="R17" s="32">
        <v>102.7</v>
      </c>
      <c r="S17" s="33" t="s">
        <v>288</v>
      </c>
      <c r="T17" s="32"/>
      <c r="U17" s="37" t="s">
        <v>288</v>
      </c>
    </row>
    <row r="18" spans="1:21" ht="14.4" customHeight="1" x14ac:dyDescent="0.25">
      <c r="A18" s="31" t="s">
        <v>27</v>
      </c>
      <c r="B18" s="31"/>
      <c r="C18" s="31" t="s">
        <v>229</v>
      </c>
      <c r="D18" s="59">
        <v>120</v>
      </c>
      <c r="E18" s="60" t="s">
        <v>280</v>
      </c>
      <c r="F18" s="32">
        <f t="shared" si="0"/>
        <v>7.5</v>
      </c>
      <c r="G18" s="33">
        <f t="shared" si="1"/>
        <v>900</v>
      </c>
      <c r="H18" s="32">
        <f t="shared" si="2"/>
        <v>5.95</v>
      </c>
      <c r="I18" s="33">
        <f>$D18*H18</f>
        <v>714</v>
      </c>
      <c r="J18" s="32">
        <v>7.5</v>
      </c>
      <c r="K18" s="33">
        <f>$D18*J18</f>
        <v>900</v>
      </c>
      <c r="L18" s="32">
        <v>5.95</v>
      </c>
      <c r="M18" s="33">
        <f>$D18*L18</f>
        <v>714</v>
      </c>
      <c r="N18" s="32">
        <v>28.2</v>
      </c>
      <c r="O18" s="33">
        <f t="shared" ref="O18" si="10">$D18*N18</f>
        <v>3384</v>
      </c>
      <c r="P18" s="32">
        <v>11.5</v>
      </c>
      <c r="Q18" s="33">
        <f t="shared" ref="Q18" si="11">$D18*P18</f>
        <v>1380</v>
      </c>
      <c r="R18" s="32">
        <v>29.3</v>
      </c>
      <c r="S18" s="33">
        <f t="shared" ref="S18" si="12">$D18*R18</f>
        <v>3516</v>
      </c>
      <c r="T18" s="32"/>
      <c r="U18" s="33">
        <f>$D18*T18</f>
        <v>0</v>
      </c>
    </row>
    <row r="19" spans="1:21" ht="14.4" customHeight="1" x14ac:dyDescent="0.25">
      <c r="A19" s="31" t="s">
        <v>28</v>
      </c>
      <c r="B19" s="31" t="s">
        <v>220</v>
      </c>
      <c r="C19" s="31" t="s">
        <v>230</v>
      </c>
      <c r="D19" s="59">
        <v>1</v>
      </c>
      <c r="E19" s="60" t="s">
        <v>279</v>
      </c>
      <c r="F19" s="32">
        <f t="shared" si="0"/>
        <v>22</v>
      </c>
      <c r="G19" s="33" t="s">
        <v>288</v>
      </c>
      <c r="H19" s="32">
        <f t="shared" si="2"/>
        <v>19.7</v>
      </c>
      <c r="I19" s="33" t="s">
        <v>288</v>
      </c>
      <c r="J19" s="32">
        <v>22</v>
      </c>
      <c r="K19" s="33" t="s">
        <v>288</v>
      </c>
      <c r="L19" s="32">
        <v>19.7</v>
      </c>
      <c r="M19" s="33" t="s">
        <v>288</v>
      </c>
      <c r="N19" s="32">
        <v>14.5</v>
      </c>
      <c r="O19" s="33" t="s">
        <v>288</v>
      </c>
      <c r="P19" s="32">
        <v>18.5</v>
      </c>
      <c r="Q19" s="33" t="s">
        <v>288</v>
      </c>
      <c r="R19" s="32">
        <v>25.5</v>
      </c>
      <c r="S19" s="33" t="s">
        <v>288</v>
      </c>
      <c r="T19" s="32"/>
      <c r="U19" s="37" t="s">
        <v>288</v>
      </c>
    </row>
    <row r="20" spans="1:21" ht="14.4" customHeight="1" x14ac:dyDescent="0.25">
      <c r="A20" s="31" t="s">
        <v>29</v>
      </c>
      <c r="B20" s="31" t="s">
        <v>220</v>
      </c>
      <c r="C20" s="31" t="s">
        <v>231</v>
      </c>
      <c r="D20" s="59">
        <v>1</v>
      </c>
      <c r="E20" s="60" t="s">
        <v>279</v>
      </c>
      <c r="F20" s="32">
        <f t="shared" si="0"/>
        <v>6</v>
      </c>
      <c r="G20" s="33" t="s">
        <v>288</v>
      </c>
      <c r="H20" s="32">
        <f t="shared" si="2"/>
        <v>4.5</v>
      </c>
      <c r="I20" s="33" t="s">
        <v>288</v>
      </c>
      <c r="J20" s="32">
        <v>6</v>
      </c>
      <c r="K20" s="33" t="s">
        <v>288</v>
      </c>
      <c r="L20" s="32">
        <v>4.5</v>
      </c>
      <c r="M20" s="33" t="s">
        <v>288</v>
      </c>
      <c r="N20" s="32">
        <v>4</v>
      </c>
      <c r="O20" s="33" t="s">
        <v>288</v>
      </c>
      <c r="P20" s="32">
        <v>143</v>
      </c>
      <c r="Q20" s="33" t="s">
        <v>288</v>
      </c>
      <c r="R20" s="32">
        <v>10.7</v>
      </c>
      <c r="S20" s="33" t="s">
        <v>288</v>
      </c>
      <c r="T20" s="32"/>
      <c r="U20" s="37" t="s">
        <v>288</v>
      </c>
    </row>
    <row r="21" spans="1:21" ht="14.4" customHeight="1" x14ac:dyDescent="0.25">
      <c r="A21" s="31" t="s">
        <v>30</v>
      </c>
      <c r="B21" s="31" t="s">
        <v>220</v>
      </c>
      <c r="C21" s="31" t="s">
        <v>232</v>
      </c>
      <c r="D21" s="59">
        <v>1</v>
      </c>
      <c r="E21" s="60" t="s">
        <v>279</v>
      </c>
      <c r="F21" s="32">
        <f t="shared" si="0"/>
        <v>15</v>
      </c>
      <c r="G21" s="33" t="s">
        <v>288</v>
      </c>
      <c r="H21" s="32">
        <f t="shared" si="2"/>
        <v>4.5</v>
      </c>
      <c r="I21" s="33" t="s">
        <v>288</v>
      </c>
      <c r="J21" s="32">
        <v>15</v>
      </c>
      <c r="K21" s="33" t="s">
        <v>288</v>
      </c>
      <c r="L21" s="32">
        <v>4.5</v>
      </c>
      <c r="M21" s="33" t="s">
        <v>288</v>
      </c>
      <c r="N21" s="32">
        <v>4.25</v>
      </c>
      <c r="O21" s="33" t="s">
        <v>288</v>
      </c>
      <c r="P21" s="32">
        <v>27.2</v>
      </c>
      <c r="Q21" s="33" t="s">
        <v>288</v>
      </c>
      <c r="R21" s="32">
        <v>62.1</v>
      </c>
      <c r="S21" s="33" t="s">
        <v>288</v>
      </c>
      <c r="T21" s="32"/>
      <c r="U21" s="37" t="s">
        <v>288</v>
      </c>
    </row>
    <row r="22" spans="1:21" ht="14.4" customHeight="1" x14ac:dyDescent="0.25">
      <c r="A22" s="31" t="s">
        <v>31</v>
      </c>
      <c r="B22" s="31"/>
      <c r="C22" s="31" t="s">
        <v>233</v>
      </c>
      <c r="D22" s="59">
        <v>48</v>
      </c>
      <c r="E22" s="60" t="s">
        <v>281</v>
      </c>
      <c r="F22" s="32">
        <f t="shared" si="0"/>
        <v>73</v>
      </c>
      <c r="G22" s="33">
        <f t="shared" si="1"/>
        <v>3504</v>
      </c>
      <c r="H22" s="32">
        <f t="shared" si="2"/>
        <v>275</v>
      </c>
      <c r="I22" s="33">
        <f>$D22*H22</f>
        <v>13200</v>
      </c>
      <c r="J22" s="32">
        <v>73</v>
      </c>
      <c r="K22" s="33">
        <f>$D22*J22</f>
        <v>3504</v>
      </c>
      <c r="L22" s="32">
        <v>275</v>
      </c>
      <c r="M22" s="33">
        <f t="shared" ref="M22:M27" si="13">$D22*L22</f>
        <v>13200</v>
      </c>
      <c r="N22" s="32">
        <v>272.10000000000002</v>
      </c>
      <c r="O22" s="33">
        <f t="shared" ref="O22" si="14">$D22*N22</f>
        <v>13060.800000000001</v>
      </c>
      <c r="P22" s="32">
        <v>420</v>
      </c>
      <c r="Q22" s="33">
        <f t="shared" ref="Q22:Q27" si="15">$D22*P22</f>
        <v>20160</v>
      </c>
      <c r="R22" s="32">
        <v>392.7</v>
      </c>
      <c r="S22" s="33">
        <f t="shared" ref="S22" si="16">$D22*R22</f>
        <v>18849.599999999999</v>
      </c>
      <c r="T22" s="32"/>
      <c r="U22" s="33">
        <f t="shared" ref="U22:U27" si="17">$D22*T22</f>
        <v>0</v>
      </c>
    </row>
    <row r="23" spans="1:21" ht="14.4" customHeight="1" x14ac:dyDescent="0.25">
      <c r="A23" s="31" t="s">
        <v>32</v>
      </c>
      <c r="B23" s="31"/>
      <c r="C23" s="31" t="s">
        <v>234</v>
      </c>
      <c r="D23" s="59">
        <v>15</v>
      </c>
      <c r="E23" s="60" t="s">
        <v>281</v>
      </c>
      <c r="F23" s="32">
        <f t="shared" si="0"/>
        <v>62</v>
      </c>
      <c r="G23" s="33">
        <f t="shared" si="1"/>
        <v>930</v>
      </c>
      <c r="H23" s="32">
        <f t="shared" si="2"/>
        <v>79</v>
      </c>
      <c r="I23" s="33">
        <f>$D23*H23</f>
        <v>1185</v>
      </c>
      <c r="J23" s="32">
        <v>62</v>
      </c>
      <c r="K23" s="33">
        <f>$D23*J23</f>
        <v>930</v>
      </c>
      <c r="L23" s="32">
        <v>79</v>
      </c>
      <c r="M23" s="33">
        <f t="shared" si="13"/>
        <v>1185</v>
      </c>
      <c r="N23" s="32">
        <v>65</v>
      </c>
      <c r="O23" s="33">
        <f t="shared" ref="O23" si="18">$D23*N23</f>
        <v>975</v>
      </c>
      <c r="P23" s="32">
        <v>102</v>
      </c>
      <c r="Q23" s="33">
        <f t="shared" si="15"/>
        <v>1530</v>
      </c>
      <c r="R23" s="32">
        <v>79.8</v>
      </c>
      <c r="S23" s="33">
        <f t="shared" ref="S23" si="19">$D23*R23</f>
        <v>1197</v>
      </c>
      <c r="T23" s="32"/>
      <c r="U23" s="33">
        <f t="shared" si="17"/>
        <v>0</v>
      </c>
    </row>
    <row r="24" spans="1:21" ht="14.4" customHeight="1" x14ac:dyDescent="0.25">
      <c r="A24" s="31" t="s">
        <v>33</v>
      </c>
      <c r="B24" s="31"/>
      <c r="C24" s="31" t="s">
        <v>235</v>
      </c>
      <c r="D24" s="59">
        <v>1</v>
      </c>
      <c r="E24" s="60" t="s">
        <v>281</v>
      </c>
      <c r="F24" s="32">
        <f t="shared" si="0"/>
        <v>65</v>
      </c>
      <c r="G24" s="33">
        <f t="shared" si="1"/>
        <v>65</v>
      </c>
      <c r="H24" s="32">
        <f t="shared" si="2"/>
        <v>84</v>
      </c>
      <c r="I24" s="33">
        <f>$D24*H24</f>
        <v>84</v>
      </c>
      <c r="J24" s="32">
        <v>65</v>
      </c>
      <c r="K24" s="33">
        <f>$D24*J24</f>
        <v>65</v>
      </c>
      <c r="L24" s="32">
        <v>84</v>
      </c>
      <c r="M24" s="33">
        <f t="shared" si="13"/>
        <v>84</v>
      </c>
      <c r="N24" s="32">
        <v>65</v>
      </c>
      <c r="O24" s="33">
        <f t="shared" ref="O24" si="20">$D24*N24</f>
        <v>65</v>
      </c>
      <c r="P24" s="32">
        <v>125</v>
      </c>
      <c r="Q24" s="33">
        <f t="shared" si="15"/>
        <v>125</v>
      </c>
      <c r="R24" s="32">
        <v>126.6</v>
      </c>
      <c r="S24" s="33">
        <f t="shared" ref="S24" si="21">$D24*R24</f>
        <v>126.6</v>
      </c>
      <c r="T24" s="32"/>
      <c r="U24" s="33">
        <f t="shared" si="17"/>
        <v>0</v>
      </c>
    </row>
    <row r="25" spans="1:21" ht="14.4" customHeight="1" x14ac:dyDescent="0.25">
      <c r="A25" s="31" t="s">
        <v>34</v>
      </c>
      <c r="B25" s="31"/>
      <c r="C25" s="31" t="s">
        <v>236</v>
      </c>
      <c r="D25" s="59">
        <v>3</v>
      </c>
      <c r="E25" s="60" t="s">
        <v>281</v>
      </c>
      <c r="F25" s="32">
        <f t="shared" si="0"/>
        <v>75</v>
      </c>
      <c r="G25" s="33">
        <f t="shared" si="1"/>
        <v>225</v>
      </c>
      <c r="H25" s="32">
        <f t="shared" si="2"/>
        <v>120</v>
      </c>
      <c r="I25" s="33">
        <f>$D25*H25</f>
        <v>360</v>
      </c>
      <c r="J25" s="32">
        <v>75</v>
      </c>
      <c r="K25" s="33">
        <f>$D25*J25</f>
        <v>225</v>
      </c>
      <c r="L25" s="32">
        <v>120</v>
      </c>
      <c r="M25" s="33">
        <f t="shared" si="13"/>
        <v>360</v>
      </c>
      <c r="N25" s="32">
        <v>90</v>
      </c>
      <c r="O25" s="33">
        <f t="shared" ref="O25" si="22">$D25*N25</f>
        <v>270</v>
      </c>
      <c r="P25" s="32">
        <v>185</v>
      </c>
      <c r="Q25" s="33">
        <f t="shared" si="15"/>
        <v>555</v>
      </c>
      <c r="R25" s="32">
        <v>142.80000000000001</v>
      </c>
      <c r="S25" s="33">
        <f t="shared" ref="S25" si="23">$D25*R25</f>
        <v>428.40000000000003</v>
      </c>
      <c r="T25" s="32"/>
      <c r="U25" s="33">
        <f t="shared" si="17"/>
        <v>0</v>
      </c>
    </row>
    <row r="26" spans="1:21" ht="14.4" customHeight="1" x14ac:dyDescent="0.25">
      <c r="A26" s="31" t="s">
        <v>35</v>
      </c>
      <c r="B26" s="31"/>
      <c r="C26" s="31" t="s">
        <v>237</v>
      </c>
      <c r="D26" s="59">
        <v>53</v>
      </c>
      <c r="E26" s="60" t="s">
        <v>281</v>
      </c>
      <c r="F26" s="32">
        <f t="shared" si="0"/>
        <v>250</v>
      </c>
      <c r="G26" s="33">
        <f t="shared" si="1"/>
        <v>13250</v>
      </c>
      <c r="H26" s="32">
        <f t="shared" si="2"/>
        <v>117</v>
      </c>
      <c r="I26" s="33">
        <f>$D26*H26</f>
        <v>6201</v>
      </c>
      <c r="J26" s="32">
        <v>250</v>
      </c>
      <c r="K26" s="33">
        <f>$D26*J26</f>
        <v>13250</v>
      </c>
      <c r="L26" s="32">
        <v>117</v>
      </c>
      <c r="M26" s="33">
        <f t="shared" si="13"/>
        <v>6201</v>
      </c>
      <c r="N26" s="32">
        <v>295</v>
      </c>
      <c r="O26" s="33">
        <f t="shared" ref="O26" si="24">$D26*N26</f>
        <v>15635</v>
      </c>
      <c r="P26" s="32">
        <v>502</v>
      </c>
      <c r="Q26" s="33">
        <f t="shared" si="15"/>
        <v>26606</v>
      </c>
      <c r="R26" s="32">
        <v>230.3</v>
      </c>
      <c r="S26" s="33">
        <f t="shared" ref="S26" si="25">$D26*R26</f>
        <v>12205.900000000001</v>
      </c>
      <c r="T26" s="32"/>
      <c r="U26" s="33">
        <f t="shared" si="17"/>
        <v>0</v>
      </c>
    </row>
    <row r="27" spans="1:21" ht="14.4" customHeight="1" x14ac:dyDescent="0.25">
      <c r="A27" s="31" t="s">
        <v>36</v>
      </c>
      <c r="B27" s="31"/>
      <c r="C27" s="31" t="s">
        <v>238</v>
      </c>
      <c r="D27" s="59">
        <v>16</v>
      </c>
      <c r="E27" s="60" t="s">
        <v>280</v>
      </c>
      <c r="F27" s="32">
        <f t="shared" si="0"/>
        <v>20</v>
      </c>
      <c r="G27" s="33">
        <f t="shared" si="1"/>
        <v>320</v>
      </c>
      <c r="H27" s="32">
        <f t="shared" si="2"/>
        <v>20</v>
      </c>
      <c r="I27" s="33">
        <f>$D27*H27</f>
        <v>320</v>
      </c>
      <c r="J27" s="32">
        <v>20</v>
      </c>
      <c r="K27" s="33">
        <f>$D27*J27</f>
        <v>320</v>
      </c>
      <c r="L27" s="32">
        <v>20</v>
      </c>
      <c r="M27" s="33">
        <f t="shared" si="13"/>
        <v>320</v>
      </c>
      <c r="N27" s="32">
        <v>28.9</v>
      </c>
      <c r="O27" s="33">
        <f t="shared" ref="O27" si="26">$D27*N27</f>
        <v>462.4</v>
      </c>
      <c r="P27" s="32">
        <v>38.5</v>
      </c>
      <c r="Q27" s="33">
        <f t="shared" si="15"/>
        <v>616</v>
      </c>
      <c r="R27" s="32">
        <v>31.9</v>
      </c>
      <c r="S27" s="33">
        <f t="shared" ref="S27" si="27">$D27*R27</f>
        <v>510.4</v>
      </c>
      <c r="T27" s="32"/>
      <c r="U27" s="33">
        <f t="shared" si="17"/>
        <v>0</v>
      </c>
    </row>
    <row r="28" spans="1:21" ht="14.4" customHeight="1" x14ac:dyDescent="0.25">
      <c r="A28" s="31" t="s">
        <v>37</v>
      </c>
      <c r="B28" s="31" t="s">
        <v>220</v>
      </c>
      <c r="C28" s="31" t="s">
        <v>239</v>
      </c>
      <c r="D28" s="59">
        <v>1</v>
      </c>
      <c r="E28" s="60" t="s">
        <v>281</v>
      </c>
      <c r="F28" s="32">
        <f t="shared" si="0"/>
        <v>10</v>
      </c>
      <c r="G28" s="33" t="s">
        <v>288</v>
      </c>
      <c r="H28" s="32">
        <f t="shared" si="2"/>
        <v>7</v>
      </c>
      <c r="I28" s="33" t="s">
        <v>288</v>
      </c>
      <c r="J28" s="32">
        <v>10</v>
      </c>
      <c r="K28" s="33" t="s">
        <v>288</v>
      </c>
      <c r="L28" s="32">
        <v>7</v>
      </c>
      <c r="M28" s="33" t="s">
        <v>288</v>
      </c>
      <c r="N28" s="32">
        <v>10</v>
      </c>
      <c r="O28" s="33" t="s">
        <v>288</v>
      </c>
      <c r="P28" s="32">
        <v>12</v>
      </c>
      <c r="Q28" s="33" t="s">
        <v>288</v>
      </c>
      <c r="R28" s="32">
        <v>7.8</v>
      </c>
      <c r="S28" s="33" t="s">
        <v>288</v>
      </c>
      <c r="T28" s="32"/>
      <c r="U28" s="37" t="s">
        <v>288</v>
      </c>
    </row>
    <row r="29" spans="1:21" ht="14.4" customHeight="1" x14ac:dyDescent="0.25">
      <c r="A29" s="31" t="s">
        <v>38</v>
      </c>
      <c r="B29" s="31" t="s">
        <v>220</v>
      </c>
      <c r="C29" s="31" t="s">
        <v>240</v>
      </c>
      <c r="D29" s="59">
        <v>1</v>
      </c>
      <c r="E29" s="60" t="s">
        <v>281</v>
      </c>
      <c r="F29" s="32">
        <f t="shared" si="0"/>
        <v>15</v>
      </c>
      <c r="G29" s="33" t="s">
        <v>288</v>
      </c>
      <c r="H29" s="32">
        <f t="shared" si="2"/>
        <v>9</v>
      </c>
      <c r="I29" s="33" t="s">
        <v>288</v>
      </c>
      <c r="J29" s="32">
        <v>15</v>
      </c>
      <c r="K29" s="33" t="s">
        <v>288</v>
      </c>
      <c r="L29" s="32">
        <v>9</v>
      </c>
      <c r="M29" s="33" t="s">
        <v>288</v>
      </c>
      <c r="N29" s="32">
        <v>25</v>
      </c>
      <c r="O29" s="33" t="s">
        <v>288</v>
      </c>
      <c r="P29" s="32">
        <v>20</v>
      </c>
      <c r="Q29" s="33" t="s">
        <v>288</v>
      </c>
      <c r="R29" s="32">
        <v>9</v>
      </c>
      <c r="S29" s="33" t="s">
        <v>288</v>
      </c>
      <c r="T29" s="32"/>
      <c r="U29" s="37" t="s">
        <v>288</v>
      </c>
    </row>
    <row r="30" spans="1:21" ht="14.4" customHeight="1" x14ac:dyDescent="0.25">
      <c r="A30" s="31" t="s">
        <v>39</v>
      </c>
      <c r="B30" s="31" t="s">
        <v>220</v>
      </c>
      <c r="C30" s="31" t="s">
        <v>241</v>
      </c>
      <c r="D30" s="59">
        <v>1</v>
      </c>
      <c r="E30" s="60" t="s">
        <v>281</v>
      </c>
      <c r="F30" s="32">
        <f t="shared" si="0"/>
        <v>10</v>
      </c>
      <c r="G30" s="33" t="s">
        <v>288</v>
      </c>
      <c r="H30" s="32">
        <f t="shared" si="2"/>
        <v>15</v>
      </c>
      <c r="I30" s="33" t="s">
        <v>288</v>
      </c>
      <c r="J30" s="32">
        <v>10</v>
      </c>
      <c r="K30" s="33" t="s">
        <v>288</v>
      </c>
      <c r="L30" s="32">
        <v>15</v>
      </c>
      <c r="M30" s="33" t="s">
        <v>288</v>
      </c>
      <c r="N30" s="32">
        <v>10</v>
      </c>
      <c r="O30" s="33" t="s">
        <v>288</v>
      </c>
      <c r="P30" s="32">
        <v>25</v>
      </c>
      <c r="Q30" s="33" t="s">
        <v>288</v>
      </c>
      <c r="R30" s="32">
        <v>4.5999999999999996</v>
      </c>
      <c r="S30" s="33" t="s">
        <v>288</v>
      </c>
      <c r="T30" s="32"/>
      <c r="U30" s="37" t="s">
        <v>288</v>
      </c>
    </row>
    <row r="31" spans="1:21" ht="14.4" customHeight="1" x14ac:dyDescent="0.25">
      <c r="A31" s="31" t="s">
        <v>40</v>
      </c>
      <c r="B31" s="31" t="s">
        <v>220</v>
      </c>
      <c r="C31" s="31" t="s">
        <v>242</v>
      </c>
      <c r="D31" s="59">
        <v>1</v>
      </c>
      <c r="E31" s="60" t="s">
        <v>281</v>
      </c>
      <c r="F31" s="32">
        <f t="shared" si="0"/>
        <v>15</v>
      </c>
      <c r="G31" s="33" t="s">
        <v>288</v>
      </c>
      <c r="H31" s="32">
        <f t="shared" si="2"/>
        <v>17</v>
      </c>
      <c r="I31" s="33" t="s">
        <v>288</v>
      </c>
      <c r="J31" s="32">
        <v>15</v>
      </c>
      <c r="K31" s="33" t="s">
        <v>288</v>
      </c>
      <c r="L31" s="32">
        <v>17</v>
      </c>
      <c r="M31" s="33" t="s">
        <v>288</v>
      </c>
      <c r="N31" s="32">
        <v>25</v>
      </c>
      <c r="O31" s="33" t="s">
        <v>288</v>
      </c>
      <c r="P31" s="32">
        <v>35</v>
      </c>
      <c r="Q31" s="33" t="s">
        <v>288</v>
      </c>
      <c r="R31" s="32">
        <v>6.8</v>
      </c>
      <c r="S31" s="33" t="s">
        <v>288</v>
      </c>
      <c r="T31" s="32"/>
      <c r="U31" s="37" t="s">
        <v>288</v>
      </c>
    </row>
    <row r="32" spans="1:21" ht="14.4" customHeight="1" x14ac:dyDescent="0.25">
      <c r="A32" s="31" t="s">
        <v>41</v>
      </c>
      <c r="B32" s="31" t="s">
        <v>220</v>
      </c>
      <c r="C32" s="31" t="s">
        <v>243</v>
      </c>
      <c r="D32" s="59">
        <v>1</v>
      </c>
      <c r="E32" s="60" t="s">
        <v>281</v>
      </c>
      <c r="F32" s="32">
        <f t="shared" si="0"/>
        <v>20</v>
      </c>
      <c r="G32" s="33" t="s">
        <v>288</v>
      </c>
      <c r="H32" s="32">
        <f t="shared" si="2"/>
        <v>6</v>
      </c>
      <c r="I32" s="33" t="s">
        <v>288</v>
      </c>
      <c r="J32" s="32">
        <v>20</v>
      </c>
      <c r="K32" s="33" t="s">
        <v>288</v>
      </c>
      <c r="L32" s="32">
        <v>6</v>
      </c>
      <c r="M32" s="33" t="s">
        <v>288</v>
      </c>
      <c r="N32" s="32">
        <v>3.5</v>
      </c>
      <c r="O32" s="33" t="s">
        <v>288</v>
      </c>
      <c r="P32" s="32">
        <v>8</v>
      </c>
      <c r="Q32" s="33" t="s">
        <v>288</v>
      </c>
      <c r="R32" s="32">
        <v>3.7</v>
      </c>
      <c r="S32" s="33" t="s">
        <v>288</v>
      </c>
      <c r="T32" s="32"/>
      <c r="U32" s="37" t="s">
        <v>288</v>
      </c>
    </row>
    <row r="33" spans="1:21" ht="14.4" customHeight="1" x14ac:dyDescent="0.25">
      <c r="A33" s="31" t="s">
        <v>42</v>
      </c>
      <c r="B33" s="31" t="s">
        <v>220</v>
      </c>
      <c r="C33" s="31" t="s">
        <v>244</v>
      </c>
      <c r="D33" s="59">
        <v>1</v>
      </c>
      <c r="E33" s="60" t="s">
        <v>281</v>
      </c>
      <c r="F33" s="32">
        <f t="shared" si="0"/>
        <v>30</v>
      </c>
      <c r="G33" s="33" t="s">
        <v>288</v>
      </c>
      <c r="H33" s="32">
        <f t="shared" si="2"/>
        <v>7</v>
      </c>
      <c r="I33" s="33" t="s">
        <v>288</v>
      </c>
      <c r="J33" s="32">
        <v>30</v>
      </c>
      <c r="K33" s="33" t="s">
        <v>288</v>
      </c>
      <c r="L33" s="32">
        <v>7</v>
      </c>
      <c r="M33" s="33" t="s">
        <v>288</v>
      </c>
      <c r="N33" s="32">
        <v>10</v>
      </c>
      <c r="O33" s="33" t="s">
        <v>288</v>
      </c>
      <c r="P33" s="32">
        <v>18</v>
      </c>
      <c r="Q33" s="33" t="s">
        <v>288</v>
      </c>
      <c r="R33" s="32">
        <v>5.2</v>
      </c>
      <c r="S33" s="33" t="s">
        <v>288</v>
      </c>
      <c r="T33" s="32"/>
      <c r="U33" s="37" t="s">
        <v>288</v>
      </c>
    </row>
    <row r="34" spans="1:21" ht="14.4" customHeight="1" x14ac:dyDescent="0.25">
      <c r="A34" s="31" t="s">
        <v>43</v>
      </c>
      <c r="B34" s="31" t="s">
        <v>220</v>
      </c>
      <c r="C34" s="31" t="s">
        <v>245</v>
      </c>
      <c r="D34" s="59">
        <v>1</v>
      </c>
      <c r="E34" s="60" t="s">
        <v>281</v>
      </c>
      <c r="F34" s="32">
        <f t="shared" si="0"/>
        <v>20</v>
      </c>
      <c r="G34" s="33" t="s">
        <v>288</v>
      </c>
      <c r="H34" s="32">
        <f t="shared" si="2"/>
        <v>8</v>
      </c>
      <c r="I34" s="33" t="s">
        <v>288</v>
      </c>
      <c r="J34" s="32">
        <v>20</v>
      </c>
      <c r="K34" s="33" t="s">
        <v>288</v>
      </c>
      <c r="L34" s="32">
        <v>8</v>
      </c>
      <c r="M34" s="33" t="s">
        <v>288</v>
      </c>
      <c r="N34" s="32">
        <v>3.5</v>
      </c>
      <c r="O34" s="33" t="s">
        <v>288</v>
      </c>
      <c r="P34" s="32">
        <v>15</v>
      </c>
      <c r="Q34" s="33" t="s">
        <v>288</v>
      </c>
      <c r="R34" s="32">
        <v>3.7</v>
      </c>
      <c r="S34" s="33" t="s">
        <v>288</v>
      </c>
      <c r="T34" s="32"/>
      <c r="U34" s="37" t="s">
        <v>288</v>
      </c>
    </row>
    <row r="35" spans="1:21" ht="14.4" customHeight="1" x14ac:dyDescent="0.25">
      <c r="A35" s="31" t="s">
        <v>44</v>
      </c>
      <c r="B35" s="31" t="s">
        <v>220</v>
      </c>
      <c r="C35" s="31" t="s">
        <v>246</v>
      </c>
      <c r="D35" s="59">
        <v>1</v>
      </c>
      <c r="E35" s="60" t="s">
        <v>281</v>
      </c>
      <c r="F35" s="32">
        <f t="shared" si="0"/>
        <v>30</v>
      </c>
      <c r="G35" s="33" t="s">
        <v>288</v>
      </c>
      <c r="H35" s="32">
        <f t="shared" si="2"/>
        <v>8</v>
      </c>
      <c r="I35" s="33" t="s">
        <v>288</v>
      </c>
      <c r="J35" s="32">
        <v>30</v>
      </c>
      <c r="K35" s="33" t="s">
        <v>288</v>
      </c>
      <c r="L35" s="32">
        <v>8</v>
      </c>
      <c r="M35" s="33" t="s">
        <v>288</v>
      </c>
      <c r="N35" s="32">
        <v>10</v>
      </c>
      <c r="O35" s="33" t="s">
        <v>288</v>
      </c>
      <c r="P35" s="32">
        <v>18</v>
      </c>
      <c r="Q35" s="33" t="s">
        <v>288</v>
      </c>
      <c r="R35" s="32">
        <v>5.2</v>
      </c>
      <c r="S35" s="33" t="s">
        <v>288</v>
      </c>
      <c r="T35" s="32"/>
      <c r="U35" s="37" t="s">
        <v>288</v>
      </c>
    </row>
    <row r="36" spans="1:21" ht="14.4" customHeight="1" x14ac:dyDescent="0.25">
      <c r="A36" s="31" t="s">
        <v>45</v>
      </c>
      <c r="B36" s="31" t="s">
        <v>220</v>
      </c>
      <c r="C36" s="31" t="s">
        <v>247</v>
      </c>
      <c r="D36" s="59">
        <v>10</v>
      </c>
      <c r="E36" s="60" t="s">
        <v>281</v>
      </c>
      <c r="F36" s="32">
        <f t="shared" si="0"/>
        <v>65</v>
      </c>
      <c r="G36" s="33" t="s">
        <v>288</v>
      </c>
      <c r="H36" s="32">
        <f t="shared" si="2"/>
        <v>9</v>
      </c>
      <c r="I36" s="33" t="s">
        <v>288</v>
      </c>
      <c r="J36" s="32">
        <v>65</v>
      </c>
      <c r="K36" s="33" t="s">
        <v>288</v>
      </c>
      <c r="L36" s="32">
        <v>9</v>
      </c>
      <c r="M36" s="33" t="s">
        <v>288</v>
      </c>
      <c r="N36" s="32">
        <v>20</v>
      </c>
      <c r="O36" s="33" t="s">
        <v>288</v>
      </c>
      <c r="P36" s="32">
        <v>90</v>
      </c>
      <c r="Q36" s="33" t="s">
        <v>288</v>
      </c>
      <c r="R36" s="32">
        <v>68.5</v>
      </c>
      <c r="S36" s="33" t="s">
        <v>288</v>
      </c>
      <c r="T36" s="32"/>
      <c r="U36" s="37" t="s">
        <v>288</v>
      </c>
    </row>
    <row r="37" spans="1:21" ht="14.4" customHeight="1" x14ac:dyDescent="0.25">
      <c r="A37" s="38" t="s">
        <v>20</v>
      </c>
      <c r="B37" s="38"/>
      <c r="C37" s="38" t="s">
        <v>222</v>
      </c>
      <c r="D37" s="63"/>
      <c r="E37" s="64"/>
      <c r="F37" s="39"/>
      <c r="G37" s="40">
        <f>SUM(G12:G36)</f>
        <v>88750</v>
      </c>
      <c r="H37" s="39"/>
      <c r="I37" s="40">
        <f>SUM(I12:I36)</f>
        <v>97616.5</v>
      </c>
      <c r="J37" s="39"/>
      <c r="K37" s="40">
        <f>SUM(K12:K36)</f>
        <v>88750</v>
      </c>
      <c r="L37" s="39"/>
      <c r="M37" s="40">
        <f>SUM(M12:M36)</f>
        <v>97616.5</v>
      </c>
      <c r="N37" s="39"/>
      <c r="O37" s="40">
        <f>SUM(O12:O36)</f>
        <v>111418.5</v>
      </c>
      <c r="P37" s="39"/>
      <c r="Q37" s="40">
        <f>SUM(Q12:Q36)</f>
        <v>120963.95</v>
      </c>
      <c r="R37" s="39"/>
      <c r="S37" s="40">
        <f>SUM(S12:S36)</f>
        <v>114547.19999999998</v>
      </c>
      <c r="T37" s="39"/>
      <c r="U37" s="40">
        <f>SUM(U12:U36)</f>
        <v>0</v>
      </c>
    </row>
    <row r="38" spans="1:21" ht="14.4" customHeight="1" x14ac:dyDescent="0.25">
      <c r="A38" s="31"/>
      <c r="B38" s="31"/>
      <c r="C38" s="31"/>
      <c r="D38" s="59"/>
      <c r="E38" s="60"/>
      <c r="F38" s="32"/>
      <c r="G38" s="33"/>
      <c r="H38" s="32"/>
      <c r="I38" s="33"/>
      <c r="J38" s="32"/>
      <c r="K38" s="33"/>
      <c r="L38" s="32"/>
      <c r="M38" s="33"/>
      <c r="N38" s="32"/>
      <c r="O38" s="33"/>
      <c r="P38" s="32"/>
      <c r="Q38" s="33"/>
      <c r="R38" s="32"/>
      <c r="S38" s="33"/>
      <c r="T38" s="32"/>
      <c r="U38" s="33"/>
    </row>
    <row r="39" spans="1:21" ht="14.4" customHeight="1" x14ac:dyDescent="0.25">
      <c r="A39" s="31" t="s">
        <v>47</v>
      </c>
      <c r="B39" s="31"/>
      <c r="C39" s="31" t="s">
        <v>249</v>
      </c>
      <c r="D39" s="59">
        <v>6</v>
      </c>
      <c r="E39" s="60" t="s">
        <v>279</v>
      </c>
      <c r="F39" s="32">
        <f t="shared" ref="F39:F51" si="28">J39</f>
        <v>62</v>
      </c>
      <c r="G39" s="33">
        <f t="shared" ref="G39:G97" si="29">$D39*F39</f>
        <v>372</v>
      </c>
      <c r="H39" s="32">
        <f t="shared" ref="H39:H51" si="30">L39</f>
        <v>45</v>
      </c>
      <c r="I39" s="33">
        <f>$D39*H39</f>
        <v>270</v>
      </c>
      <c r="J39" s="32">
        <v>62</v>
      </c>
      <c r="K39" s="33">
        <f>$D39*J39</f>
        <v>372</v>
      </c>
      <c r="L39" s="32">
        <v>45</v>
      </c>
      <c r="M39" s="33">
        <f>$D39*L39</f>
        <v>270</v>
      </c>
      <c r="N39" s="32">
        <v>49.9</v>
      </c>
      <c r="O39" s="33">
        <f t="shared" ref="O39" si="31">$D39*N39</f>
        <v>299.39999999999998</v>
      </c>
      <c r="P39" s="32">
        <v>48</v>
      </c>
      <c r="Q39" s="33">
        <f t="shared" ref="Q39" si="32">$D39*P39</f>
        <v>288</v>
      </c>
      <c r="R39" s="32">
        <v>40.4</v>
      </c>
      <c r="S39" s="33">
        <f t="shared" ref="S39" si="33">$D39*R39</f>
        <v>242.39999999999998</v>
      </c>
      <c r="T39" s="32"/>
      <c r="U39" s="33">
        <f>$D39*T39</f>
        <v>0</v>
      </c>
    </row>
    <row r="40" spans="1:21" ht="14.4" customHeight="1" x14ac:dyDescent="0.25">
      <c r="A40" s="31" t="s">
        <v>48</v>
      </c>
      <c r="B40" s="31" t="s">
        <v>220</v>
      </c>
      <c r="C40" s="31" t="s">
        <v>250</v>
      </c>
      <c r="D40" s="59">
        <v>1</v>
      </c>
      <c r="E40" s="60" t="s">
        <v>279</v>
      </c>
      <c r="F40" s="32">
        <f t="shared" si="28"/>
        <v>12</v>
      </c>
      <c r="G40" s="33" t="s">
        <v>288</v>
      </c>
      <c r="H40" s="32">
        <f t="shared" si="30"/>
        <v>9.9</v>
      </c>
      <c r="I40" s="33" t="s">
        <v>288</v>
      </c>
      <c r="J40" s="32">
        <v>12</v>
      </c>
      <c r="K40" s="33" t="s">
        <v>288</v>
      </c>
      <c r="L40" s="32">
        <v>9.9</v>
      </c>
      <c r="M40" s="33" t="s">
        <v>288</v>
      </c>
      <c r="N40" s="32">
        <v>9</v>
      </c>
      <c r="O40" s="33" t="s">
        <v>288</v>
      </c>
      <c r="P40" s="32">
        <v>16</v>
      </c>
      <c r="Q40" s="33" t="s">
        <v>288</v>
      </c>
      <c r="R40" s="32">
        <v>15.7</v>
      </c>
      <c r="S40" s="33" t="s">
        <v>288</v>
      </c>
      <c r="T40" s="32"/>
      <c r="U40" s="37" t="s">
        <v>288</v>
      </c>
    </row>
    <row r="41" spans="1:21" ht="14.4" customHeight="1" x14ac:dyDescent="0.25">
      <c r="A41" s="31" t="s">
        <v>49</v>
      </c>
      <c r="B41" s="31" t="s">
        <v>220</v>
      </c>
      <c r="C41" s="31" t="s">
        <v>251</v>
      </c>
      <c r="D41" s="59">
        <v>1</v>
      </c>
      <c r="E41" s="60" t="s">
        <v>279</v>
      </c>
      <c r="F41" s="32">
        <f t="shared" si="28"/>
        <v>4</v>
      </c>
      <c r="G41" s="33" t="s">
        <v>288</v>
      </c>
      <c r="H41" s="32">
        <f t="shared" si="30"/>
        <v>2.9</v>
      </c>
      <c r="I41" s="33" t="s">
        <v>288</v>
      </c>
      <c r="J41" s="32">
        <v>4</v>
      </c>
      <c r="K41" s="33" t="s">
        <v>288</v>
      </c>
      <c r="L41" s="32">
        <v>2.9</v>
      </c>
      <c r="M41" s="33" t="s">
        <v>288</v>
      </c>
      <c r="N41" s="32">
        <v>2.2999999999999998</v>
      </c>
      <c r="O41" s="33" t="s">
        <v>288</v>
      </c>
      <c r="P41" s="32">
        <v>4.2</v>
      </c>
      <c r="Q41" s="33" t="s">
        <v>288</v>
      </c>
      <c r="R41" s="32">
        <v>3.1</v>
      </c>
      <c r="S41" s="33" t="s">
        <v>288</v>
      </c>
      <c r="T41" s="32"/>
      <c r="U41" s="37" t="s">
        <v>288</v>
      </c>
    </row>
    <row r="42" spans="1:21" ht="14.4" customHeight="1" x14ac:dyDescent="0.25">
      <c r="A42" s="31" t="s">
        <v>50</v>
      </c>
      <c r="B42" s="31" t="s">
        <v>220</v>
      </c>
      <c r="C42" s="31" t="s">
        <v>252</v>
      </c>
      <c r="D42" s="59">
        <v>1</v>
      </c>
      <c r="E42" s="60" t="s">
        <v>279</v>
      </c>
      <c r="F42" s="32">
        <f t="shared" si="28"/>
        <v>8</v>
      </c>
      <c r="G42" s="33" t="s">
        <v>288</v>
      </c>
      <c r="H42" s="32">
        <f t="shared" si="30"/>
        <v>5.8</v>
      </c>
      <c r="I42" s="33" t="s">
        <v>288</v>
      </c>
      <c r="J42" s="32">
        <v>8</v>
      </c>
      <c r="K42" s="33" t="s">
        <v>288</v>
      </c>
      <c r="L42" s="32">
        <v>5.8</v>
      </c>
      <c r="M42" s="33" t="s">
        <v>288</v>
      </c>
      <c r="N42" s="32">
        <v>4.5999999999999996</v>
      </c>
      <c r="O42" s="33" t="s">
        <v>288</v>
      </c>
      <c r="P42" s="32">
        <v>8.4</v>
      </c>
      <c r="Q42" s="33" t="s">
        <v>288</v>
      </c>
      <c r="R42" s="32">
        <v>6.2</v>
      </c>
      <c r="S42" s="33" t="s">
        <v>288</v>
      </c>
      <c r="T42" s="32"/>
      <c r="U42" s="37" t="s">
        <v>288</v>
      </c>
    </row>
    <row r="43" spans="1:21" ht="14.4" customHeight="1" x14ac:dyDescent="0.25">
      <c r="A43" s="31" t="s">
        <v>51</v>
      </c>
      <c r="B43" s="31" t="s">
        <v>220</v>
      </c>
      <c r="C43" s="31" t="s">
        <v>253</v>
      </c>
      <c r="D43" s="59">
        <v>1</v>
      </c>
      <c r="E43" s="60" t="s">
        <v>279</v>
      </c>
      <c r="F43" s="32">
        <f t="shared" si="28"/>
        <v>6.95</v>
      </c>
      <c r="G43" s="33" t="s">
        <v>288</v>
      </c>
      <c r="H43" s="32">
        <f t="shared" si="30"/>
        <v>3.9</v>
      </c>
      <c r="I43" s="33" t="s">
        <v>288</v>
      </c>
      <c r="J43" s="32">
        <v>6.95</v>
      </c>
      <c r="K43" s="33" t="s">
        <v>288</v>
      </c>
      <c r="L43" s="32">
        <v>3.9</v>
      </c>
      <c r="M43" s="33" t="s">
        <v>288</v>
      </c>
      <c r="N43" s="32">
        <v>5</v>
      </c>
      <c r="O43" s="33" t="s">
        <v>288</v>
      </c>
      <c r="P43" s="32">
        <v>8.8000000000000007</v>
      </c>
      <c r="Q43" s="33" t="s">
        <v>288</v>
      </c>
      <c r="R43" s="32">
        <v>7.4</v>
      </c>
      <c r="S43" s="33" t="s">
        <v>288</v>
      </c>
      <c r="T43" s="32"/>
      <c r="U43" s="37" t="s">
        <v>288</v>
      </c>
    </row>
    <row r="44" spans="1:21" ht="14.4" customHeight="1" x14ac:dyDescent="0.25">
      <c r="A44" s="31" t="s">
        <v>52</v>
      </c>
      <c r="B44" s="31"/>
      <c r="C44" s="31" t="s">
        <v>254</v>
      </c>
      <c r="D44" s="59">
        <v>20</v>
      </c>
      <c r="E44" s="60" t="s">
        <v>280</v>
      </c>
      <c r="F44" s="32">
        <f t="shared" si="28"/>
        <v>15</v>
      </c>
      <c r="G44" s="33">
        <f t="shared" si="29"/>
        <v>300</v>
      </c>
      <c r="H44" s="32">
        <f t="shared" si="30"/>
        <v>6.9</v>
      </c>
      <c r="I44" s="33">
        <f>$D44*H44</f>
        <v>138</v>
      </c>
      <c r="J44" s="32">
        <v>15</v>
      </c>
      <c r="K44" s="33">
        <f>$D44*J44</f>
        <v>300</v>
      </c>
      <c r="L44" s="32">
        <v>6.9</v>
      </c>
      <c r="M44" s="33">
        <f t="shared" ref="M44:M49" si="34">$D44*L44</f>
        <v>138</v>
      </c>
      <c r="N44" s="32">
        <v>10.5</v>
      </c>
      <c r="O44" s="33">
        <f t="shared" ref="O44" si="35">$D44*N44</f>
        <v>210</v>
      </c>
      <c r="P44" s="32">
        <v>6.9</v>
      </c>
      <c r="Q44" s="33">
        <f t="shared" ref="Q44:Q49" si="36">$D44*P44</f>
        <v>138</v>
      </c>
      <c r="R44" s="32">
        <v>11.8</v>
      </c>
      <c r="S44" s="33">
        <f t="shared" ref="S44" si="37">$D44*R44</f>
        <v>236</v>
      </c>
      <c r="T44" s="32"/>
      <c r="U44" s="33">
        <f t="shared" ref="U44:U49" si="38">$D44*T44</f>
        <v>0</v>
      </c>
    </row>
    <row r="45" spans="1:21" ht="14.4" customHeight="1" x14ac:dyDescent="0.25">
      <c r="A45" s="31" t="s">
        <v>53</v>
      </c>
      <c r="B45" s="31"/>
      <c r="C45" s="31" t="s">
        <v>255</v>
      </c>
      <c r="D45" s="59">
        <v>20</v>
      </c>
      <c r="E45" s="60" t="s">
        <v>280</v>
      </c>
      <c r="F45" s="32">
        <f t="shared" si="28"/>
        <v>6.5</v>
      </c>
      <c r="G45" s="33">
        <f t="shared" si="29"/>
        <v>130</v>
      </c>
      <c r="H45" s="32">
        <f t="shared" si="30"/>
        <v>4.5</v>
      </c>
      <c r="I45" s="33">
        <f>$D45*H45</f>
        <v>90</v>
      </c>
      <c r="J45" s="32">
        <v>6.5</v>
      </c>
      <c r="K45" s="33">
        <f>$D45*J45</f>
        <v>130</v>
      </c>
      <c r="L45" s="32">
        <v>4.5</v>
      </c>
      <c r="M45" s="33">
        <f t="shared" si="34"/>
        <v>90</v>
      </c>
      <c r="N45" s="32">
        <v>4</v>
      </c>
      <c r="O45" s="33">
        <f t="shared" ref="O45" si="39">$D45*N45</f>
        <v>80</v>
      </c>
      <c r="P45" s="32">
        <v>6.5</v>
      </c>
      <c r="Q45" s="33">
        <f t="shared" si="36"/>
        <v>130</v>
      </c>
      <c r="R45" s="32">
        <v>8.1</v>
      </c>
      <c r="S45" s="33">
        <f t="shared" ref="S45" si="40">$D45*R45</f>
        <v>162</v>
      </c>
      <c r="T45" s="32"/>
      <c r="U45" s="33">
        <f t="shared" si="38"/>
        <v>0</v>
      </c>
    </row>
    <row r="46" spans="1:21" ht="14.4" customHeight="1" x14ac:dyDescent="0.25">
      <c r="A46" s="31" t="s">
        <v>54</v>
      </c>
      <c r="B46" s="31"/>
      <c r="C46" s="31" t="s">
        <v>256</v>
      </c>
      <c r="D46" s="59">
        <v>10</v>
      </c>
      <c r="E46" s="60" t="s">
        <v>281</v>
      </c>
      <c r="F46" s="32">
        <f t="shared" si="28"/>
        <v>10</v>
      </c>
      <c r="G46" s="33">
        <f t="shared" si="29"/>
        <v>100</v>
      </c>
      <c r="H46" s="32">
        <f t="shared" si="30"/>
        <v>9.5</v>
      </c>
      <c r="I46" s="33">
        <f>$D46*H46</f>
        <v>95</v>
      </c>
      <c r="J46" s="32">
        <v>10</v>
      </c>
      <c r="K46" s="33">
        <f>$D46*J46</f>
        <v>100</v>
      </c>
      <c r="L46" s="32">
        <v>9.5</v>
      </c>
      <c r="M46" s="33">
        <f t="shared" si="34"/>
        <v>95</v>
      </c>
      <c r="N46" s="32">
        <v>25</v>
      </c>
      <c r="O46" s="33">
        <f t="shared" ref="O46" si="41">$D46*N46</f>
        <v>250</v>
      </c>
      <c r="P46" s="32">
        <v>25</v>
      </c>
      <c r="Q46" s="33">
        <f t="shared" si="36"/>
        <v>250</v>
      </c>
      <c r="R46" s="32">
        <v>13.7</v>
      </c>
      <c r="S46" s="33">
        <f t="shared" ref="S46" si="42">$D46*R46</f>
        <v>137</v>
      </c>
      <c r="T46" s="32"/>
      <c r="U46" s="33">
        <f t="shared" si="38"/>
        <v>0</v>
      </c>
    </row>
    <row r="47" spans="1:21" ht="14.4" customHeight="1" x14ac:dyDescent="0.25">
      <c r="A47" s="31" t="s">
        <v>55</v>
      </c>
      <c r="B47" s="31"/>
      <c r="C47" s="31" t="s">
        <v>257</v>
      </c>
      <c r="D47" s="59">
        <v>10</v>
      </c>
      <c r="E47" s="60" t="s">
        <v>281</v>
      </c>
      <c r="F47" s="32">
        <f t="shared" si="28"/>
        <v>20</v>
      </c>
      <c r="G47" s="33">
        <f t="shared" si="29"/>
        <v>200</v>
      </c>
      <c r="H47" s="32">
        <f t="shared" si="30"/>
        <v>8</v>
      </c>
      <c r="I47" s="33">
        <f>$D47*H47</f>
        <v>80</v>
      </c>
      <c r="J47" s="32">
        <v>20</v>
      </c>
      <c r="K47" s="33">
        <f>$D47*J47</f>
        <v>200</v>
      </c>
      <c r="L47" s="32">
        <v>8</v>
      </c>
      <c r="M47" s="33">
        <f t="shared" si="34"/>
        <v>80</v>
      </c>
      <c r="N47" s="32">
        <v>25</v>
      </c>
      <c r="O47" s="33">
        <f t="shared" ref="O47" si="43">$D47*N47</f>
        <v>250</v>
      </c>
      <c r="P47" s="32">
        <v>15</v>
      </c>
      <c r="Q47" s="33">
        <f t="shared" si="36"/>
        <v>150</v>
      </c>
      <c r="R47" s="32">
        <v>13.7</v>
      </c>
      <c r="S47" s="33">
        <f t="shared" ref="S47" si="44">$D47*R47</f>
        <v>137</v>
      </c>
      <c r="T47" s="32"/>
      <c r="U47" s="33">
        <f t="shared" si="38"/>
        <v>0</v>
      </c>
    </row>
    <row r="48" spans="1:21" ht="14.4" customHeight="1" x14ac:dyDescent="0.25">
      <c r="A48" s="31" t="s">
        <v>56</v>
      </c>
      <c r="B48" s="31"/>
      <c r="C48" s="31" t="s">
        <v>258</v>
      </c>
      <c r="D48" s="59">
        <v>5</v>
      </c>
      <c r="E48" s="60" t="s">
        <v>281</v>
      </c>
      <c r="F48" s="32">
        <f t="shared" si="28"/>
        <v>65</v>
      </c>
      <c r="G48" s="33">
        <f t="shared" si="29"/>
        <v>325</v>
      </c>
      <c r="H48" s="32">
        <f t="shared" si="30"/>
        <v>64</v>
      </c>
      <c r="I48" s="33">
        <f>$D48*H48</f>
        <v>320</v>
      </c>
      <c r="J48" s="32">
        <v>65</v>
      </c>
      <c r="K48" s="33">
        <f>$D48*J48</f>
        <v>325</v>
      </c>
      <c r="L48" s="32">
        <v>64</v>
      </c>
      <c r="M48" s="33">
        <f t="shared" si="34"/>
        <v>320</v>
      </c>
      <c r="N48" s="32">
        <v>88</v>
      </c>
      <c r="O48" s="33">
        <f t="shared" ref="O48" si="45">$D48*N48</f>
        <v>440</v>
      </c>
      <c r="P48" s="32">
        <v>55</v>
      </c>
      <c r="Q48" s="33">
        <f t="shared" si="36"/>
        <v>275</v>
      </c>
      <c r="R48" s="32">
        <v>69.099999999999994</v>
      </c>
      <c r="S48" s="33">
        <f t="shared" ref="S48" si="46">$D48*R48</f>
        <v>345.5</v>
      </c>
      <c r="T48" s="32"/>
      <c r="U48" s="33">
        <f t="shared" si="38"/>
        <v>0</v>
      </c>
    </row>
    <row r="49" spans="1:21" ht="14.4" customHeight="1" x14ac:dyDescent="0.25">
      <c r="A49" s="31" t="s">
        <v>57</v>
      </c>
      <c r="B49" s="31"/>
      <c r="C49" s="31" t="s">
        <v>259</v>
      </c>
      <c r="D49" s="59">
        <v>5</v>
      </c>
      <c r="E49" s="60" t="s">
        <v>281</v>
      </c>
      <c r="F49" s="32">
        <f t="shared" si="28"/>
        <v>80</v>
      </c>
      <c r="G49" s="33">
        <f t="shared" si="29"/>
        <v>400</v>
      </c>
      <c r="H49" s="32">
        <f t="shared" si="30"/>
        <v>77</v>
      </c>
      <c r="I49" s="33">
        <f>$D49*H49</f>
        <v>385</v>
      </c>
      <c r="J49" s="32">
        <v>80</v>
      </c>
      <c r="K49" s="33">
        <f>$D49*J49</f>
        <v>400</v>
      </c>
      <c r="L49" s="32">
        <v>77</v>
      </c>
      <c r="M49" s="33">
        <f t="shared" si="34"/>
        <v>385</v>
      </c>
      <c r="N49" s="32">
        <v>125</v>
      </c>
      <c r="O49" s="33">
        <f t="shared" ref="O49" si="47">$D49*N49</f>
        <v>625</v>
      </c>
      <c r="P49" s="32">
        <v>65</v>
      </c>
      <c r="Q49" s="33">
        <f t="shared" si="36"/>
        <v>325</v>
      </c>
      <c r="R49" s="32">
        <v>91.9</v>
      </c>
      <c r="S49" s="33">
        <f t="shared" ref="S49" si="48">$D49*R49</f>
        <v>459.5</v>
      </c>
      <c r="T49" s="32"/>
      <c r="U49" s="33">
        <f t="shared" si="38"/>
        <v>0</v>
      </c>
    </row>
    <row r="50" spans="1:21" ht="14.4" customHeight="1" x14ac:dyDescent="0.25">
      <c r="A50" s="31" t="s">
        <v>58</v>
      </c>
      <c r="B50" s="31" t="s">
        <v>220</v>
      </c>
      <c r="C50" s="31" t="s">
        <v>260</v>
      </c>
      <c r="D50" s="59">
        <v>1</v>
      </c>
      <c r="E50" s="60" t="s">
        <v>281</v>
      </c>
      <c r="F50" s="32">
        <f t="shared" si="28"/>
        <v>170</v>
      </c>
      <c r="G50" s="33" t="s">
        <v>288</v>
      </c>
      <c r="H50" s="32">
        <f t="shared" si="30"/>
        <v>190</v>
      </c>
      <c r="I50" s="33" t="s">
        <v>288</v>
      </c>
      <c r="J50" s="32">
        <v>170</v>
      </c>
      <c r="K50" s="33" t="s">
        <v>288</v>
      </c>
      <c r="L50" s="32">
        <v>190</v>
      </c>
      <c r="M50" s="33" t="s">
        <v>288</v>
      </c>
      <c r="N50" s="32">
        <v>239.95</v>
      </c>
      <c r="O50" s="33" t="s">
        <v>288</v>
      </c>
      <c r="P50" s="32">
        <v>280</v>
      </c>
      <c r="Q50" s="33" t="s">
        <v>288</v>
      </c>
      <c r="R50" s="32">
        <v>346.9</v>
      </c>
      <c r="S50" s="33" t="s">
        <v>288</v>
      </c>
      <c r="T50" s="32"/>
      <c r="U50" s="37" t="s">
        <v>288</v>
      </c>
    </row>
    <row r="51" spans="1:21" ht="14.4" customHeight="1" x14ac:dyDescent="0.25">
      <c r="A51" s="31" t="s">
        <v>59</v>
      </c>
      <c r="B51" s="31" t="s">
        <v>220</v>
      </c>
      <c r="C51" s="31" t="s">
        <v>261</v>
      </c>
      <c r="D51" s="59">
        <v>1</v>
      </c>
      <c r="E51" s="60" t="s">
        <v>281</v>
      </c>
      <c r="F51" s="32">
        <f t="shared" si="28"/>
        <v>200</v>
      </c>
      <c r="G51" s="33" t="s">
        <v>288</v>
      </c>
      <c r="H51" s="32">
        <f t="shared" si="30"/>
        <v>240</v>
      </c>
      <c r="I51" s="33" t="s">
        <v>288</v>
      </c>
      <c r="J51" s="32">
        <v>200</v>
      </c>
      <c r="K51" s="33" t="s">
        <v>288</v>
      </c>
      <c r="L51" s="32">
        <v>240</v>
      </c>
      <c r="M51" s="33" t="s">
        <v>288</v>
      </c>
      <c r="N51" s="32">
        <v>281.95</v>
      </c>
      <c r="O51" s="33" t="s">
        <v>288</v>
      </c>
      <c r="P51" s="32">
        <v>350</v>
      </c>
      <c r="Q51" s="33" t="s">
        <v>288</v>
      </c>
      <c r="R51" s="32">
        <v>391.4</v>
      </c>
      <c r="S51" s="33" t="s">
        <v>288</v>
      </c>
      <c r="T51" s="32"/>
      <c r="U51" s="37" t="s">
        <v>288</v>
      </c>
    </row>
    <row r="52" spans="1:21" ht="14.4" customHeight="1" x14ac:dyDescent="0.25">
      <c r="A52" s="38" t="s">
        <v>46</v>
      </c>
      <c r="B52" s="38"/>
      <c r="C52" s="38" t="s">
        <v>248</v>
      </c>
      <c r="D52" s="63"/>
      <c r="E52" s="64"/>
      <c r="F52" s="39"/>
      <c r="G52" s="40">
        <f>SUM(G39:G51)</f>
        <v>1827</v>
      </c>
      <c r="H52" s="39"/>
      <c r="I52" s="40">
        <f>SUM(I39:I51)</f>
        <v>1378</v>
      </c>
      <c r="J52" s="39"/>
      <c r="K52" s="40">
        <f>SUM(K39:K51)</f>
        <v>1827</v>
      </c>
      <c r="L52" s="39"/>
      <c r="M52" s="40">
        <f>SUM(M39:M51)</f>
        <v>1378</v>
      </c>
      <c r="N52" s="39"/>
      <c r="O52" s="40">
        <f>SUM(O39:O51)</f>
        <v>2154.4</v>
      </c>
      <c r="P52" s="39"/>
      <c r="Q52" s="40">
        <f>SUM(Q39:Q51)</f>
        <v>1556</v>
      </c>
      <c r="R52" s="39"/>
      <c r="S52" s="40">
        <f>SUM(S39:S51)</f>
        <v>1719.4</v>
      </c>
      <c r="T52" s="39"/>
      <c r="U52" s="40">
        <f>SUM(U39:U51)</f>
        <v>0</v>
      </c>
    </row>
    <row r="53" spans="1:21" ht="14.4" customHeight="1" x14ac:dyDescent="0.25">
      <c r="A53" s="31"/>
      <c r="B53" s="31"/>
      <c r="C53" s="31"/>
      <c r="D53" s="59"/>
      <c r="E53" s="60"/>
      <c r="F53" s="32"/>
      <c r="G53" s="33"/>
      <c r="H53" s="32"/>
      <c r="I53" s="33"/>
      <c r="J53" s="32"/>
      <c r="K53" s="33"/>
      <c r="L53" s="32"/>
      <c r="M53" s="33"/>
      <c r="N53" s="32"/>
      <c r="O53" s="33"/>
      <c r="P53" s="32"/>
      <c r="Q53" s="33"/>
      <c r="R53" s="32"/>
      <c r="S53" s="33"/>
      <c r="T53" s="32"/>
      <c r="U53" s="33"/>
    </row>
    <row r="54" spans="1:21" ht="14.4" customHeight="1" x14ac:dyDescent="0.25">
      <c r="A54" s="31" t="s">
        <v>61</v>
      </c>
      <c r="B54" s="31"/>
      <c r="C54" s="31" t="s">
        <v>263</v>
      </c>
      <c r="D54" s="59">
        <v>58</v>
      </c>
      <c r="E54" s="60" t="s">
        <v>279</v>
      </c>
      <c r="F54" s="32">
        <f t="shared" ref="F54:F58" si="49">J54</f>
        <v>75</v>
      </c>
      <c r="G54" s="33">
        <f t="shared" si="29"/>
        <v>4350</v>
      </c>
      <c r="H54" s="32">
        <f t="shared" ref="H54:H58" si="50">L54</f>
        <v>62</v>
      </c>
      <c r="I54" s="33">
        <f>$D54*H54</f>
        <v>3596</v>
      </c>
      <c r="J54" s="32">
        <v>75</v>
      </c>
      <c r="K54" s="33">
        <f>$D54*J54</f>
        <v>4350</v>
      </c>
      <c r="L54" s="32">
        <v>62</v>
      </c>
      <c r="M54" s="33">
        <f>$D54*L54</f>
        <v>3596</v>
      </c>
      <c r="N54" s="32">
        <v>102.25</v>
      </c>
      <c r="O54" s="33">
        <f t="shared" ref="O54" si="51">$D54*N54</f>
        <v>5930.5</v>
      </c>
      <c r="P54" s="32">
        <v>131.5</v>
      </c>
      <c r="Q54" s="33">
        <f t="shared" ref="Q54:Q58" si="52">$D54*P54</f>
        <v>7627</v>
      </c>
      <c r="R54" s="32">
        <v>81.400000000000006</v>
      </c>
      <c r="S54" s="33">
        <f t="shared" ref="S54" si="53">$D54*R54</f>
        <v>4721.2000000000007</v>
      </c>
      <c r="T54" s="32"/>
      <c r="U54" s="33">
        <f>$D54*T54</f>
        <v>0</v>
      </c>
    </row>
    <row r="55" spans="1:21" ht="14.4" customHeight="1" x14ac:dyDescent="0.25">
      <c r="A55" s="31" t="s">
        <v>62</v>
      </c>
      <c r="B55" s="31"/>
      <c r="C55" s="31" t="s">
        <v>264</v>
      </c>
      <c r="D55" s="59">
        <v>10</v>
      </c>
      <c r="E55" s="60" t="s">
        <v>280</v>
      </c>
      <c r="F55" s="32">
        <f t="shared" si="49"/>
        <v>22</v>
      </c>
      <c r="G55" s="33">
        <f t="shared" si="29"/>
        <v>220</v>
      </c>
      <c r="H55" s="32">
        <f t="shared" si="50"/>
        <v>9</v>
      </c>
      <c r="I55" s="33">
        <f>$D55*H55</f>
        <v>90</v>
      </c>
      <c r="J55" s="32">
        <v>22</v>
      </c>
      <c r="K55" s="33">
        <f>$D55*J55</f>
        <v>220</v>
      </c>
      <c r="L55" s="32">
        <v>9</v>
      </c>
      <c r="M55" s="33">
        <f>$D55*L55</f>
        <v>90</v>
      </c>
      <c r="N55" s="32">
        <v>10.9</v>
      </c>
      <c r="O55" s="33">
        <f t="shared" ref="O55" si="54">$D55*N55</f>
        <v>109</v>
      </c>
      <c r="P55" s="32">
        <v>26.2</v>
      </c>
      <c r="Q55" s="33">
        <f t="shared" si="52"/>
        <v>262</v>
      </c>
      <c r="R55" s="32">
        <v>19.100000000000001</v>
      </c>
      <c r="S55" s="33">
        <f t="shared" ref="S55" si="55">$D55*R55</f>
        <v>191</v>
      </c>
      <c r="T55" s="32"/>
      <c r="U55" s="33">
        <f>$D55*T55</f>
        <v>0</v>
      </c>
    </row>
    <row r="56" spans="1:21" ht="14.4" customHeight="1" x14ac:dyDescent="0.25">
      <c r="A56" s="31" t="s">
        <v>63</v>
      </c>
      <c r="B56" s="31"/>
      <c r="C56" s="31" t="s">
        <v>265</v>
      </c>
      <c r="D56" s="59">
        <v>32</v>
      </c>
      <c r="E56" s="60" t="s">
        <v>280</v>
      </c>
      <c r="F56" s="32">
        <f t="shared" si="49"/>
        <v>28</v>
      </c>
      <c r="G56" s="33">
        <f t="shared" si="29"/>
        <v>896</v>
      </c>
      <c r="H56" s="32">
        <f t="shared" si="50"/>
        <v>67</v>
      </c>
      <c r="I56" s="33">
        <f>$D56*H56</f>
        <v>2144</v>
      </c>
      <c r="J56" s="32">
        <v>28</v>
      </c>
      <c r="K56" s="33">
        <f>$D56*J56</f>
        <v>896</v>
      </c>
      <c r="L56" s="32">
        <v>67</v>
      </c>
      <c r="M56" s="33">
        <f>$D56*L56</f>
        <v>2144</v>
      </c>
      <c r="N56" s="32">
        <v>36</v>
      </c>
      <c r="O56" s="33">
        <f t="shared" ref="O56" si="56">$D56*N56</f>
        <v>1152</v>
      </c>
      <c r="P56" s="32">
        <v>35</v>
      </c>
      <c r="Q56" s="33">
        <f t="shared" si="52"/>
        <v>1120</v>
      </c>
      <c r="R56" s="32">
        <v>19.100000000000001</v>
      </c>
      <c r="S56" s="33">
        <f t="shared" ref="S56" si="57">$D56*R56</f>
        <v>611.20000000000005</v>
      </c>
      <c r="T56" s="32"/>
      <c r="U56" s="33">
        <f>$D56*T56</f>
        <v>0</v>
      </c>
    </row>
    <row r="57" spans="1:21" ht="14.4" customHeight="1" x14ac:dyDescent="0.25">
      <c r="A57" s="31" t="s">
        <v>64</v>
      </c>
      <c r="B57" s="31"/>
      <c r="C57" s="31" t="s">
        <v>266</v>
      </c>
      <c r="D57" s="59">
        <v>5</v>
      </c>
      <c r="E57" s="60" t="s">
        <v>281</v>
      </c>
      <c r="F57" s="32">
        <f t="shared" si="49"/>
        <v>15</v>
      </c>
      <c r="G57" s="33">
        <f t="shared" si="29"/>
        <v>75</v>
      </c>
      <c r="H57" s="32">
        <f t="shared" si="50"/>
        <v>9</v>
      </c>
      <c r="I57" s="33">
        <f>$D57*H57</f>
        <v>45</v>
      </c>
      <c r="J57" s="32">
        <v>15</v>
      </c>
      <c r="K57" s="33">
        <f>$D57*J57</f>
        <v>75</v>
      </c>
      <c r="L57" s="32">
        <v>9</v>
      </c>
      <c r="M57" s="33">
        <f>$D57*L57</f>
        <v>45</v>
      </c>
      <c r="N57" s="32">
        <v>25</v>
      </c>
      <c r="O57" s="33">
        <f t="shared" ref="O57" si="58">$D57*N57</f>
        <v>125</v>
      </c>
      <c r="P57" s="32">
        <v>26</v>
      </c>
      <c r="Q57" s="33">
        <f t="shared" si="52"/>
        <v>130</v>
      </c>
      <c r="R57" s="32">
        <v>80.5</v>
      </c>
      <c r="S57" s="33">
        <f t="shared" ref="S57" si="59">$D57*R57</f>
        <v>402.5</v>
      </c>
      <c r="T57" s="32"/>
      <c r="U57" s="33">
        <f>$D57*T57</f>
        <v>0</v>
      </c>
    </row>
    <row r="58" spans="1:21" ht="14.4" customHeight="1" x14ac:dyDescent="0.25">
      <c r="A58" s="31" t="s">
        <v>65</v>
      </c>
      <c r="B58" s="31"/>
      <c r="C58" s="31" t="s">
        <v>267</v>
      </c>
      <c r="D58" s="59">
        <v>5</v>
      </c>
      <c r="E58" s="60" t="s">
        <v>281</v>
      </c>
      <c r="F58" s="32">
        <f t="shared" si="49"/>
        <v>30</v>
      </c>
      <c r="G58" s="33">
        <f t="shared" si="29"/>
        <v>150</v>
      </c>
      <c r="H58" s="32">
        <f t="shared" si="50"/>
        <v>12</v>
      </c>
      <c r="I58" s="33">
        <f>$D58*H58</f>
        <v>60</v>
      </c>
      <c r="J58" s="32">
        <v>30</v>
      </c>
      <c r="K58" s="33">
        <f>$D58*J58</f>
        <v>150</v>
      </c>
      <c r="L58" s="32">
        <v>12</v>
      </c>
      <c r="M58" s="33">
        <f>$D58*L58</f>
        <v>60</v>
      </c>
      <c r="N58" s="32">
        <v>25</v>
      </c>
      <c r="O58" s="33">
        <f t="shared" ref="O58" si="60">$D58*N58</f>
        <v>125</v>
      </c>
      <c r="P58" s="32">
        <v>35</v>
      </c>
      <c r="Q58" s="33">
        <f t="shared" si="52"/>
        <v>175</v>
      </c>
      <c r="R58" s="32">
        <v>67.099999999999994</v>
      </c>
      <c r="S58" s="33">
        <f t="shared" ref="S58" si="61">$D58*R58</f>
        <v>335.5</v>
      </c>
      <c r="T58" s="32"/>
      <c r="U58" s="33">
        <f>$D58*T58</f>
        <v>0</v>
      </c>
    </row>
    <row r="59" spans="1:21" ht="14.4" customHeight="1" x14ac:dyDescent="0.25">
      <c r="A59" s="38" t="s">
        <v>60</v>
      </c>
      <c r="B59" s="38"/>
      <c r="C59" s="38" t="s">
        <v>262</v>
      </c>
      <c r="D59" s="63"/>
      <c r="E59" s="64"/>
      <c r="F59" s="39"/>
      <c r="G59" s="40">
        <f>SUM(G54:G58)</f>
        <v>5691</v>
      </c>
      <c r="H59" s="39"/>
      <c r="I59" s="40">
        <f>SUM(I54:I58)</f>
        <v>5935</v>
      </c>
      <c r="J59" s="39"/>
      <c r="K59" s="40">
        <f>SUM(K54:K58)</f>
        <v>5691</v>
      </c>
      <c r="L59" s="39"/>
      <c r="M59" s="40">
        <f>SUM(M54:M58)</f>
        <v>5935</v>
      </c>
      <c r="N59" s="39"/>
      <c r="O59" s="40">
        <f>SUM(O54:O58)</f>
        <v>7441.5</v>
      </c>
      <c r="P59" s="39"/>
      <c r="Q59" s="40">
        <f>SUM(Q54:Q58)</f>
        <v>9314</v>
      </c>
      <c r="R59" s="39"/>
      <c r="S59" s="40">
        <f>SUM(S54:S58)</f>
        <v>6261.4000000000005</v>
      </c>
      <c r="T59" s="39"/>
      <c r="U59" s="40">
        <f>SUM(U54:U58)</f>
        <v>0</v>
      </c>
    </row>
    <row r="60" spans="1:21" ht="14.4" customHeight="1" x14ac:dyDescent="0.25">
      <c r="A60" s="31"/>
      <c r="B60" s="31"/>
      <c r="C60" s="31"/>
      <c r="D60" s="59"/>
      <c r="E60" s="60"/>
      <c r="F60" s="32"/>
      <c r="G60" s="33"/>
      <c r="H60" s="32"/>
      <c r="I60" s="33"/>
      <c r="J60" s="32"/>
      <c r="K60" s="33"/>
      <c r="L60" s="32"/>
      <c r="M60" s="33"/>
      <c r="N60" s="32"/>
      <c r="O60" s="33"/>
      <c r="P60" s="32"/>
      <c r="Q60" s="33"/>
      <c r="R60" s="32"/>
      <c r="S60" s="33"/>
      <c r="T60" s="32"/>
      <c r="U60" s="33"/>
    </row>
    <row r="61" spans="1:21" ht="14.4" customHeight="1" x14ac:dyDescent="0.25">
      <c r="A61" s="31" t="s">
        <v>67</v>
      </c>
      <c r="B61" s="31"/>
      <c r="C61" s="31" t="s">
        <v>269</v>
      </c>
      <c r="D61" s="59">
        <v>5</v>
      </c>
      <c r="E61" s="60" t="s">
        <v>280</v>
      </c>
      <c r="F61" s="32">
        <f t="shared" ref="F61:F64" si="62">J61</f>
        <v>38</v>
      </c>
      <c r="G61" s="33">
        <f t="shared" si="29"/>
        <v>190</v>
      </c>
      <c r="H61" s="32">
        <f t="shared" ref="H61:H64" si="63">L61</f>
        <v>85</v>
      </c>
      <c r="I61" s="33">
        <f>$D61*H61</f>
        <v>425</v>
      </c>
      <c r="J61" s="32">
        <v>38</v>
      </c>
      <c r="K61" s="33">
        <f>$D61*J61</f>
        <v>190</v>
      </c>
      <c r="L61" s="32">
        <v>85</v>
      </c>
      <c r="M61" s="33">
        <f>$D61*L61</f>
        <v>425</v>
      </c>
      <c r="N61" s="32">
        <v>39.5</v>
      </c>
      <c r="O61" s="33">
        <f t="shared" ref="O61" si="64">$D61*N61</f>
        <v>197.5</v>
      </c>
      <c r="P61" s="32">
        <v>65.2</v>
      </c>
      <c r="Q61" s="33">
        <f t="shared" ref="Q61" si="65">$D61*P61</f>
        <v>326</v>
      </c>
      <c r="R61" s="32">
        <v>62</v>
      </c>
      <c r="S61" s="33">
        <f t="shared" ref="S61" si="66">$D61*R61</f>
        <v>310</v>
      </c>
      <c r="T61" s="32"/>
      <c r="U61" s="33">
        <f>$D61*T61</f>
        <v>0</v>
      </c>
    </row>
    <row r="62" spans="1:21" ht="14.4" customHeight="1" x14ac:dyDescent="0.25">
      <c r="A62" s="31" t="s">
        <v>68</v>
      </c>
      <c r="B62" s="31" t="s">
        <v>220</v>
      </c>
      <c r="C62" s="31" t="s">
        <v>270</v>
      </c>
      <c r="D62" s="59">
        <v>1</v>
      </c>
      <c r="E62" s="60" t="s">
        <v>280</v>
      </c>
      <c r="F62" s="32">
        <f t="shared" si="62"/>
        <v>48</v>
      </c>
      <c r="G62" s="33" t="s">
        <v>288</v>
      </c>
      <c r="H62" s="32">
        <f t="shared" si="63"/>
        <v>95</v>
      </c>
      <c r="I62" s="33" t="s">
        <v>288</v>
      </c>
      <c r="J62" s="32">
        <v>48</v>
      </c>
      <c r="K62" s="33" t="s">
        <v>288</v>
      </c>
      <c r="L62" s="32">
        <v>95</v>
      </c>
      <c r="M62" s="33" t="s">
        <v>288</v>
      </c>
      <c r="N62" s="32">
        <v>48.5</v>
      </c>
      <c r="O62" s="33" t="s">
        <v>288</v>
      </c>
      <c r="P62" s="32">
        <v>95</v>
      </c>
      <c r="Q62" s="33" t="s">
        <v>288</v>
      </c>
      <c r="R62" s="32">
        <v>68.7</v>
      </c>
      <c r="S62" s="33" t="s">
        <v>288</v>
      </c>
      <c r="T62" s="32"/>
      <c r="U62" s="37" t="s">
        <v>288</v>
      </c>
    </row>
    <row r="63" spans="1:21" ht="14.4" customHeight="1" x14ac:dyDescent="0.25">
      <c r="A63" s="31" t="s">
        <v>69</v>
      </c>
      <c r="B63" s="31"/>
      <c r="C63" s="31" t="s">
        <v>271</v>
      </c>
      <c r="D63" s="59">
        <v>5.6</v>
      </c>
      <c r="E63" s="60" t="s">
        <v>280</v>
      </c>
      <c r="F63" s="32">
        <f t="shared" si="62"/>
        <v>65</v>
      </c>
      <c r="G63" s="33">
        <f t="shared" si="29"/>
        <v>364</v>
      </c>
      <c r="H63" s="32">
        <f t="shared" si="63"/>
        <v>52</v>
      </c>
      <c r="I63" s="33">
        <f>$D63*H63</f>
        <v>291.2</v>
      </c>
      <c r="J63" s="32">
        <v>65</v>
      </c>
      <c r="K63" s="33">
        <f>$D63*J63</f>
        <v>364</v>
      </c>
      <c r="L63" s="32">
        <v>52</v>
      </c>
      <c r="M63" s="33">
        <f>$D63*L63</f>
        <v>291.2</v>
      </c>
      <c r="N63" s="32">
        <v>90</v>
      </c>
      <c r="O63" s="33">
        <f t="shared" ref="O63" si="67">$D63*N63</f>
        <v>503.99999999999994</v>
      </c>
      <c r="P63" s="32">
        <v>84.4</v>
      </c>
      <c r="Q63" s="33">
        <f t="shared" ref="Q63:Q64" si="68">$D63*P63</f>
        <v>472.64</v>
      </c>
      <c r="R63" s="32">
        <v>171.8</v>
      </c>
      <c r="S63" s="33">
        <f t="shared" ref="S63" si="69">$D63*R63</f>
        <v>962.08</v>
      </c>
      <c r="T63" s="32"/>
      <c r="U63" s="33">
        <f>$D63*T63</f>
        <v>0</v>
      </c>
    </row>
    <row r="64" spans="1:21" ht="14.4" customHeight="1" x14ac:dyDescent="0.25">
      <c r="A64" s="31" t="s">
        <v>70</v>
      </c>
      <c r="B64" s="31"/>
      <c r="C64" s="31" t="s">
        <v>272</v>
      </c>
      <c r="D64" s="59">
        <v>7.7</v>
      </c>
      <c r="E64" s="60" t="s">
        <v>280</v>
      </c>
      <c r="F64" s="32">
        <f t="shared" si="62"/>
        <v>6.5</v>
      </c>
      <c r="G64" s="33">
        <f t="shared" si="29"/>
        <v>50.050000000000004</v>
      </c>
      <c r="H64" s="32">
        <f t="shared" si="63"/>
        <v>4.5</v>
      </c>
      <c r="I64" s="33">
        <f>$D64*H64</f>
        <v>34.65</v>
      </c>
      <c r="J64" s="32">
        <v>6.5</v>
      </c>
      <c r="K64" s="33">
        <f>$D64*J64</f>
        <v>50.050000000000004</v>
      </c>
      <c r="L64" s="32">
        <v>4.5</v>
      </c>
      <c r="M64" s="33">
        <f>$D64*L64</f>
        <v>34.65</v>
      </c>
      <c r="N64" s="32">
        <v>4</v>
      </c>
      <c r="O64" s="33">
        <f t="shared" ref="O64" si="70">$D64*N64</f>
        <v>30.8</v>
      </c>
      <c r="P64" s="32">
        <v>6.9</v>
      </c>
      <c r="Q64" s="33">
        <f t="shared" si="68"/>
        <v>53.13</v>
      </c>
      <c r="R64" s="32">
        <v>10.7</v>
      </c>
      <c r="S64" s="33">
        <f t="shared" ref="S64" si="71">$D64*R64</f>
        <v>82.39</v>
      </c>
      <c r="T64" s="32"/>
      <c r="U64" s="33">
        <f>$D64*T64</f>
        <v>0</v>
      </c>
    </row>
    <row r="65" spans="1:21" ht="14.4" customHeight="1" x14ac:dyDescent="0.25">
      <c r="A65" s="38" t="s">
        <v>66</v>
      </c>
      <c r="B65" s="38"/>
      <c r="C65" s="38" t="s">
        <v>268</v>
      </c>
      <c r="D65" s="63"/>
      <c r="E65" s="64"/>
      <c r="F65" s="39"/>
      <c r="G65" s="40">
        <f>SUM(G61:G64)</f>
        <v>604.04999999999995</v>
      </c>
      <c r="H65" s="39"/>
      <c r="I65" s="40">
        <f>SUM(I61:I64)</f>
        <v>750.85</v>
      </c>
      <c r="J65" s="39"/>
      <c r="K65" s="40">
        <f>SUM(K61:K64)</f>
        <v>604.04999999999995</v>
      </c>
      <c r="L65" s="39"/>
      <c r="M65" s="40">
        <f>SUM(M61:M64)</f>
        <v>750.85</v>
      </c>
      <c r="N65" s="39"/>
      <c r="O65" s="40">
        <f>SUM(O61:O64)</f>
        <v>732.3</v>
      </c>
      <c r="P65" s="39"/>
      <c r="Q65" s="40">
        <f>SUM(Q61:Q64)</f>
        <v>851.77</v>
      </c>
      <c r="R65" s="39"/>
      <c r="S65" s="40">
        <f>SUM(S61:S64)</f>
        <v>1354.47</v>
      </c>
      <c r="T65" s="39"/>
      <c r="U65" s="40">
        <f>SUM(U61:U64)</f>
        <v>0</v>
      </c>
    </row>
    <row r="66" spans="1:21" ht="14.4" customHeight="1" x14ac:dyDescent="0.25">
      <c r="A66" s="31"/>
      <c r="B66" s="31"/>
      <c r="C66" s="31"/>
      <c r="D66" s="59"/>
      <c r="E66" s="60"/>
      <c r="F66" s="32"/>
      <c r="G66" s="33"/>
      <c r="H66" s="32"/>
      <c r="I66" s="33"/>
      <c r="J66" s="32"/>
      <c r="K66" s="33"/>
      <c r="L66" s="32"/>
      <c r="M66" s="33"/>
      <c r="N66" s="32"/>
      <c r="O66" s="33"/>
      <c r="P66" s="32"/>
      <c r="Q66" s="33"/>
      <c r="R66" s="32"/>
      <c r="S66" s="33"/>
      <c r="T66" s="32"/>
      <c r="U66" s="33"/>
    </row>
    <row r="67" spans="1:21" ht="14.4" customHeight="1" x14ac:dyDescent="0.25">
      <c r="A67" s="34" t="s">
        <v>71</v>
      </c>
      <c r="B67" s="34"/>
      <c r="C67" s="34" t="s">
        <v>273</v>
      </c>
      <c r="D67" s="61"/>
      <c r="E67" s="62"/>
      <c r="F67" s="35"/>
      <c r="G67" s="36"/>
      <c r="H67" s="35"/>
      <c r="I67" s="36"/>
      <c r="J67" s="35"/>
      <c r="K67" s="36"/>
      <c r="L67" s="35"/>
      <c r="M67" s="36"/>
      <c r="N67" s="35"/>
      <c r="O67" s="36"/>
      <c r="P67" s="35"/>
      <c r="Q67" s="36"/>
      <c r="R67" s="35"/>
      <c r="S67" s="36"/>
      <c r="T67" s="35"/>
      <c r="U67" s="36"/>
    </row>
    <row r="68" spans="1:21" ht="14.4" customHeight="1" x14ac:dyDescent="0.25">
      <c r="A68" s="31" t="s">
        <v>73</v>
      </c>
      <c r="B68" s="31"/>
      <c r="C68" s="31" t="s">
        <v>223</v>
      </c>
      <c r="D68" s="59">
        <v>1414</v>
      </c>
      <c r="E68" s="60" t="s">
        <v>279</v>
      </c>
      <c r="F68" s="32">
        <f t="shared" ref="F68:F94" si="72">J68</f>
        <v>54</v>
      </c>
      <c r="G68" s="33">
        <f t="shared" si="29"/>
        <v>76356</v>
      </c>
      <c r="H68" s="32">
        <f t="shared" ref="H68:H94" si="73">L68</f>
        <v>59</v>
      </c>
      <c r="I68" s="33">
        <f>$D68*H68</f>
        <v>83426</v>
      </c>
      <c r="J68" s="32">
        <v>54</v>
      </c>
      <c r="K68" s="33">
        <f>$D68*J68</f>
        <v>76356</v>
      </c>
      <c r="L68" s="32">
        <v>59</v>
      </c>
      <c r="M68" s="33">
        <f t="shared" ref="M68:M73" si="74">$D68*L68</f>
        <v>83426</v>
      </c>
      <c r="N68" s="32">
        <v>59.95</v>
      </c>
      <c r="O68" s="33">
        <f t="shared" ref="O68" si="75">$D68*N68</f>
        <v>84769.3</v>
      </c>
      <c r="P68" s="32">
        <v>54.1</v>
      </c>
      <c r="Q68" s="33">
        <f t="shared" ref="Q68:Q73" si="76">$D68*P68</f>
        <v>76497.400000000009</v>
      </c>
      <c r="R68" s="32">
        <v>64.3</v>
      </c>
      <c r="S68" s="33">
        <f t="shared" ref="S68" si="77">$D68*R68</f>
        <v>90920.2</v>
      </c>
      <c r="T68" s="32"/>
      <c r="U68" s="33">
        <f t="shared" ref="U68:U73" si="78">$D68*T68</f>
        <v>0</v>
      </c>
    </row>
    <row r="69" spans="1:21" ht="14.4" customHeight="1" x14ac:dyDescent="0.25">
      <c r="A69" s="31" t="s">
        <v>74</v>
      </c>
      <c r="B69" s="31"/>
      <c r="C69" s="31" t="s">
        <v>224</v>
      </c>
      <c r="D69" s="59">
        <v>3</v>
      </c>
      <c r="E69" s="60" t="s">
        <v>279</v>
      </c>
      <c r="F69" s="32">
        <f t="shared" si="72"/>
        <v>56</v>
      </c>
      <c r="G69" s="33">
        <f t="shared" si="29"/>
        <v>168</v>
      </c>
      <c r="H69" s="32">
        <f t="shared" si="73"/>
        <v>59.9</v>
      </c>
      <c r="I69" s="33">
        <f>$D69*H69</f>
        <v>179.7</v>
      </c>
      <c r="J69" s="32">
        <v>56</v>
      </c>
      <c r="K69" s="33">
        <f>$D69*J69</f>
        <v>168</v>
      </c>
      <c r="L69" s="32">
        <v>59.9</v>
      </c>
      <c r="M69" s="33">
        <f t="shared" si="74"/>
        <v>179.7</v>
      </c>
      <c r="N69" s="32">
        <v>60.95</v>
      </c>
      <c r="O69" s="33">
        <f t="shared" ref="O69" si="79">$D69*N69</f>
        <v>182.85000000000002</v>
      </c>
      <c r="P69" s="32">
        <v>55.25</v>
      </c>
      <c r="Q69" s="33">
        <f t="shared" si="76"/>
        <v>165.75</v>
      </c>
      <c r="R69" s="32">
        <v>97.4</v>
      </c>
      <c r="S69" s="33">
        <f t="shared" ref="S69" si="80">$D69*R69</f>
        <v>292.20000000000005</v>
      </c>
      <c r="T69" s="32"/>
      <c r="U69" s="33">
        <f t="shared" si="78"/>
        <v>0</v>
      </c>
    </row>
    <row r="70" spans="1:21" ht="14.4" customHeight="1" x14ac:dyDescent="0.25">
      <c r="A70" s="31" t="s">
        <v>75</v>
      </c>
      <c r="B70" s="31"/>
      <c r="C70" s="31" t="s">
        <v>274</v>
      </c>
      <c r="D70" s="59">
        <v>3</v>
      </c>
      <c r="E70" s="60" t="s">
        <v>279</v>
      </c>
      <c r="F70" s="32">
        <f t="shared" si="72"/>
        <v>85</v>
      </c>
      <c r="G70" s="33">
        <f t="shared" si="29"/>
        <v>255</v>
      </c>
      <c r="H70" s="32">
        <f t="shared" si="73"/>
        <v>64</v>
      </c>
      <c r="I70" s="33">
        <f>$D70*H70</f>
        <v>192</v>
      </c>
      <c r="J70" s="32">
        <v>85</v>
      </c>
      <c r="K70" s="33">
        <f>$D70*J70</f>
        <v>255</v>
      </c>
      <c r="L70" s="32">
        <v>64</v>
      </c>
      <c r="M70" s="33">
        <f t="shared" si="74"/>
        <v>192</v>
      </c>
      <c r="N70" s="32">
        <v>62.95</v>
      </c>
      <c r="O70" s="33">
        <f t="shared" ref="O70" si="81">$D70*N70</f>
        <v>188.85000000000002</v>
      </c>
      <c r="P70" s="32">
        <v>56.85</v>
      </c>
      <c r="Q70" s="33">
        <f t="shared" si="76"/>
        <v>170.55</v>
      </c>
      <c r="R70" s="32">
        <v>91.3</v>
      </c>
      <c r="S70" s="33">
        <f t="shared" ref="S70" si="82">$D70*R70</f>
        <v>273.89999999999998</v>
      </c>
      <c r="T70" s="32"/>
      <c r="U70" s="33">
        <f t="shared" si="78"/>
        <v>0</v>
      </c>
    </row>
    <row r="71" spans="1:21" ht="14.4" customHeight="1" x14ac:dyDescent="0.25">
      <c r="A71" s="31" t="s">
        <v>76</v>
      </c>
      <c r="B71" s="31"/>
      <c r="C71" s="31" t="s">
        <v>275</v>
      </c>
      <c r="D71" s="59">
        <v>23</v>
      </c>
      <c r="E71" s="60" t="s">
        <v>279</v>
      </c>
      <c r="F71" s="32">
        <f t="shared" si="72"/>
        <v>65</v>
      </c>
      <c r="G71" s="33">
        <f t="shared" si="29"/>
        <v>1495</v>
      </c>
      <c r="H71" s="32">
        <f t="shared" si="73"/>
        <v>62</v>
      </c>
      <c r="I71" s="33">
        <f>$D71*H71</f>
        <v>1426</v>
      </c>
      <c r="J71" s="32">
        <v>65</v>
      </c>
      <c r="K71" s="33">
        <f>$D71*J71</f>
        <v>1495</v>
      </c>
      <c r="L71" s="32">
        <v>62</v>
      </c>
      <c r="M71" s="33">
        <f t="shared" si="74"/>
        <v>1426</v>
      </c>
      <c r="N71" s="32">
        <v>86.5</v>
      </c>
      <c r="O71" s="33">
        <f t="shared" ref="O71" si="83">$D71*N71</f>
        <v>1989.5</v>
      </c>
      <c r="P71" s="32">
        <v>66.2</v>
      </c>
      <c r="Q71" s="33">
        <f t="shared" si="76"/>
        <v>1522.6000000000001</v>
      </c>
      <c r="R71" s="32">
        <v>68.099999999999994</v>
      </c>
      <c r="S71" s="33">
        <f t="shared" ref="S71" si="84">$D71*R71</f>
        <v>1566.3</v>
      </c>
      <c r="T71" s="32"/>
      <c r="U71" s="33">
        <f t="shared" si="78"/>
        <v>0</v>
      </c>
    </row>
    <row r="72" spans="1:21" ht="14.4" customHeight="1" x14ac:dyDescent="0.25">
      <c r="A72" s="31" t="s">
        <v>77</v>
      </c>
      <c r="B72" s="31"/>
      <c r="C72" s="31" t="s">
        <v>225</v>
      </c>
      <c r="D72" s="59">
        <v>6</v>
      </c>
      <c r="E72" s="60" t="s">
        <v>279</v>
      </c>
      <c r="F72" s="32">
        <f t="shared" si="72"/>
        <v>65</v>
      </c>
      <c r="G72" s="33">
        <f t="shared" si="29"/>
        <v>390</v>
      </c>
      <c r="H72" s="32">
        <f t="shared" si="73"/>
        <v>66</v>
      </c>
      <c r="I72" s="33">
        <f>$D72*H72</f>
        <v>396</v>
      </c>
      <c r="J72" s="32">
        <v>65</v>
      </c>
      <c r="K72" s="33">
        <f>$D72*J72</f>
        <v>390</v>
      </c>
      <c r="L72" s="32">
        <v>66</v>
      </c>
      <c r="M72" s="33">
        <f t="shared" si="74"/>
        <v>396</v>
      </c>
      <c r="N72" s="32">
        <v>85.5</v>
      </c>
      <c r="O72" s="33">
        <f t="shared" ref="O72" si="85">$D72*N72</f>
        <v>513</v>
      </c>
      <c r="P72" s="32">
        <v>77.5</v>
      </c>
      <c r="Q72" s="33">
        <f t="shared" si="76"/>
        <v>465</v>
      </c>
      <c r="R72" s="32">
        <v>83.7</v>
      </c>
      <c r="S72" s="33">
        <f t="shared" ref="S72" si="86">$D72*R72</f>
        <v>502.20000000000005</v>
      </c>
      <c r="T72" s="32"/>
      <c r="U72" s="33">
        <f t="shared" si="78"/>
        <v>0</v>
      </c>
    </row>
    <row r="73" spans="1:21" ht="14.4" customHeight="1" x14ac:dyDescent="0.25">
      <c r="A73" s="31" t="s">
        <v>78</v>
      </c>
      <c r="B73" s="31"/>
      <c r="C73" s="31" t="s">
        <v>226</v>
      </c>
      <c r="D73" s="59">
        <v>3</v>
      </c>
      <c r="E73" s="60" t="s">
        <v>279</v>
      </c>
      <c r="F73" s="32">
        <f t="shared" si="72"/>
        <v>65</v>
      </c>
      <c r="G73" s="33">
        <f t="shared" si="29"/>
        <v>195</v>
      </c>
      <c r="H73" s="32">
        <f t="shared" si="73"/>
        <v>69</v>
      </c>
      <c r="I73" s="33">
        <f>$D73*H73</f>
        <v>207</v>
      </c>
      <c r="J73" s="32">
        <v>65</v>
      </c>
      <c r="K73" s="33">
        <f>$D73*J73</f>
        <v>195</v>
      </c>
      <c r="L73" s="32">
        <v>69</v>
      </c>
      <c r="M73" s="33">
        <f t="shared" si="74"/>
        <v>207</v>
      </c>
      <c r="N73" s="32">
        <v>95</v>
      </c>
      <c r="O73" s="33">
        <f t="shared" ref="O73" si="87">$D73*N73</f>
        <v>285</v>
      </c>
      <c r="P73" s="32">
        <v>79.900000000000006</v>
      </c>
      <c r="Q73" s="33">
        <f t="shared" si="76"/>
        <v>239.70000000000002</v>
      </c>
      <c r="R73" s="32">
        <v>104.5</v>
      </c>
      <c r="S73" s="33">
        <f t="shared" ref="S73" si="88">$D73*R73</f>
        <v>313.5</v>
      </c>
      <c r="T73" s="32"/>
      <c r="U73" s="33">
        <f t="shared" si="78"/>
        <v>0</v>
      </c>
    </row>
    <row r="74" spans="1:21" ht="14.4" customHeight="1" x14ac:dyDescent="0.25">
      <c r="A74" s="31" t="s">
        <v>79</v>
      </c>
      <c r="B74" s="31" t="s">
        <v>220</v>
      </c>
      <c r="C74" s="31" t="s">
        <v>227</v>
      </c>
      <c r="D74" s="59">
        <v>10</v>
      </c>
      <c r="E74" s="60" t="s">
        <v>279</v>
      </c>
      <c r="F74" s="32">
        <f t="shared" si="72"/>
        <v>6.95</v>
      </c>
      <c r="G74" s="33" t="s">
        <v>288</v>
      </c>
      <c r="H74" s="32">
        <f t="shared" si="73"/>
        <v>19.75</v>
      </c>
      <c r="I74" s="33" t="s">
        <v>288</v>
      </c>
      <c r="J74" s="32">
        <v>6.95</v>
      </c>
      <c r="K74" s="33" t="s">
        <v>288</v>
      </c>
      <c r="L74" s="32">
        <v>19.75</v>
      </c>
      <c r="M74" s="33" t="s">
        <v>288</v>
      </c>
      <c r="N74" s="32">
        <v>5</v>
      </c>
      <c r="O74" s="33" t="s">
        <v>288</v>
      </c>
      <c r="P74" s="32">
        <v>18</v>
      </c>
      <c r="Q74" s="33" t="s">
        <v>288</v>
      </c>
      <c r="R74" s="32">
        <v>121.3</v>
      </c>
      <c r="S74" s="33" t="s">
        <v>288</v>
      </c>
      <c r="T74" s="32"/>
      <c r="U74" s="37" t="s">
        <v>288</v>
      </c>
    </row>
    <row r="75" spans="1:21" ht="14.4" customHeight="1" x14ac:dyDescent="0.25">
      <c r="A75" s="31" t="s">
        <v>80</v>
      </c>
      <c r="B75" s="31" t="s">
        <v>220</v>
      </c>
      <c r="C75" s="31" t="s">
        <v>228</v>
      </c>
      <c r="D75" s="59">
        <v>1</v>
      </c>
      <c r="E75" s="60" t="s">
        <v>280</v>
      </c>
      <c r="F75" s="32">
        <f t="shared" si="72"/>
        <v>2</v>
      </c>
      <c r="G75" s="33" t="s">
        <v>288</v>
      </c>
      <c r="H75" s="32">
        <f t="shared" si="73"/>
        <v>29</v>
      </c>
      <c r="I75" s="33" t="s">
        <v>288</v>
      </c>
      <c r="J75" s="32">
        <v>2</v>
      </c>
      <c r="K75" s="33" t="s">
        <v>288</v>
      </c>
      <c r="L75" s="32">
        <v>29</v>
      </c>
      <c r="M75" s="33" t="s">
        <v>288</v>
      </c>
      <c r="N75" s="32">
        <v>12.5</v>
      </c>
      <c r="O75" s="33" t="s">
        <v>288</v>
      </c>
      <c r="P75" s="32">
        <v>46.2</v>
      </c>
      <c r="Q75" s="33" t="s">
        <v>288</v>
      </c>
      <c r="R75" s="32">
        <v>110.4</v>
      </c>
      <c r="S75" s="33" t="s">
        <v>288</v>
      </c>
      <c r="T75" s="32"/>
      <c r="U75" s="37" t="s">
        <v>288</v>
      </c>
    </row>
    <row r="76" spans="1:21" ht="14.4" customHeight="1" x14ac:dyDescent="0.25">
      <c r="A76" s="31" t="s">
        <v>81</v>
      </c>
      <c r="B76" s="31"/>
      <c r="C76" s="31" t="s">
        <v>229</v>
      </c>
      <c r="D76" s="59">
        <v>120</v>
      </c>
      <c r="E76" s="60" t="s">
        <v>280</v>
      </c>
      <c r="F76" s="32">
        <f t="shared" si="72"/>
        <v>7.5</v>
      </c>
      <c r="G76" s="33">
        <f t="shared" si="29"/>
        <v>900</v>
      </c>
      <c r="H76" s="32">
        <f t="shared" si="73"/>
        <v>5.95</v>
      </c>
      <c r="I76" s="33">
        <f>$D76*H76</f>
        <v>714</v>
      </c>
      <c r="J76" s="32">
        <v>7.5</v>
      </c>
      <c r="K76" s="33">
        <f>$D76*J76</f>
        <v>900</v>
      </c>
      <c r="L76" s="32">
        <v>5.95</v>
      </c>
      <c r="M76" s="33">
        <f>$D76*L76</f>
        <v>714</v>
      </c>
      <c r="N76" s="32">
        <v>28.2</v>
      </c>
      <c r="O76" s="33">
        <f t="shared" ref="O76" si="89">$D76*N76</f>
        <v>3384</v>
      </c>
      <c r="P76" s="32">
        <v>11.5</v>
      </c>
      <c r="Q76" s="33">
        <f t="shared" ref="Q76" si="90">$D76*P76</f>
        <v>1380</v>
      </c>
      <c r="R76" s="32">
        <v>31.5</v>
      </c>
      <c r="S76" s="33">
        <f t="shared" ref="S76" si="91">$D76*R76</f>
        <v>3780</v>
      </c>
      <c r="T76" s="32"/>
      <c r="U76" s="33">
        <f>$D76*T76</f>
        <v>0</v>
      </c>
    </row>
    <row r="77" spans="1:21" ht="14.4" customHeight="1" x14ac:dyDescent="0.25">
      <c r="A77" s="31" t="s">
        <v>82</v>
      </c>
      <c r="B77" s="31" t="s">
        <v>220</v>
      </c>
      <c r="C77" s="31" t="s">
        <v>230</v>
      </c>
      <c r="D77" s="59">
        <v>1</v>
      </c>
      <c r="E77" s="60" t="s">
        <v>279</v>
      </c>
      <c r="F77" s="32">
        <f t="shared" si="72"/>
        <v>22</v>
      </c>
      <c r="G77" s="33" t="s">
        <v>288</v>
      </c>
      <c r="H77" s="32">
        <f t="shared" si="73"/>
        <v>19.7</v>
      </c>
      <c r="I77" s="33" t="s">
        <v>288</v>
      </c>
      <c r="J77" s="32">
        <v>22</v>
      </c>
      <c r="K77" s="33" t="s">
        <v>288</v>
      </c>
      <c r="L77" s="32">
        <v>19.7</v>
      </c>
      <c r="M77" s="33" t="s">
        <v>288</v>
      </c>
      <c r="N77" s="32">
        <v>14.5</v>
      </c>
      <c r="O77" s="33" t="s">
        <v>288</v>
      </c>
      <c r="P77" s="32">
        <v>18.5</v>
      </c>
      <c r="Q77" s="33" t="s">
        <v>288</v>
      </c>
      <c r="R77" s="32">
        <v>27.4</v>
      </c>
      <c r="S77" s="33" t="s">
        <v>288</v>
      </c>
      <c r="T77" s="32"/>
      <c r="U77" s="37" t="s">
        <v>288</v>
      </c>
    </row>
    <row r="78" spans="1:21" ht="14.4" customHeight="1" x14ac:dyDescent="0.25">
      <c r="A78" s="31" t="s">
        <v>83</v>
      </c>
      <c r="B78" s="31" t="s">
        <v>220</v>
      </c>
      <c r="C78" s="31" t="s">
        <v>231</v>
      </c>
      <c r="D78" s="59">
        <v>1</v>
      </c>
      <c r="E78" s="60" t="s">
        <v>279</v>
      </c>
      <c r="F78" s="32">
        <f t="shared" si="72"/>
        <v>6</v>
      </c>
      <c r="G78" s="33" t="s">
        <v>288</v>
      </c>
      <c r="H78" s="32">
        <f t="shared" si="73"/>
        <v>4.5</v>
      </c>
      <c r="I78" s="33" t="s">
        <v>288</v>
      </c>
      <c r="J78" s="32">
        <v>6</v>
      </c>
      <c r="K78" s="33" t="s">
        <v>288</v>
      </c>
      <c r="L78" s="32">
        <v>4.5</v>
      </c>
      <c r="M78" s="33" t="s">
        <v>288</v>
      </c>
      <c r="N78" s="32">
        <v>4</v>
      </c>
      <c r="O78" s="33" t="s">
        <v>288</v>
      </c>
      <c r="P78" s="75">
        <v>12</v>
      </c>
      <c r="Q78" s="33" t="s">
        <v>288</v>
      </c>
      <c r="R78" s="32">
        <v>11.5</v>
      </c>
      <c r="S78" s="33" t="s">
        <v>288</v>
      </c>
      <c r="T78" s="32"/>
      <c r="U78" s="37" t="s">
        <v>288</v>
      </c>
    </row>
    <row r="79" spans="1:21" ht="14.4" customHeight="1" x14ac:dyDescent="0.25">
      <c r="A79" s="31" t="s">
        <v>84</v>
      </c>
      <c r="B79" s="31" t="s">
        <v>220</v>
      </c>
      <c r="C79" s="31" t="s">
        <v>232</v>
      </c>
      <c r="D79" s="59">
        <v>1</v>
      </c>
      <c r="E79" s="60" t="s">
        <v>279</v>
      </c>
      <c r="F79" s="32">
        <f t="shared" si="72"/>
        <v>15</v>
      </c>
      <c r="G79" s="33" t="s">
        <v>288</v>
      </c>
      <c r="H79" s="32">
        <f t="shared" si="73"/>
        <v>4.5</v>
      </c>
      <c r="I79" s="33" t="s">
        <v>288</v>
      </c>
      <c r="J79" s="32">
        <v>15</v>
      </c>
      <c r="K79" s="33" t="s">
        <v>288</v>
      </c>
      <c r="L79" s="32">
        <v>4.5</v>
      </c>
      <c r="M79" s="33" t="s">
        <v>288</v>
      </c>
      <c r="N79" s="32">
        <v>5.2</v>
      </c>
      <c r="O79" s="33" t="s">
        <v>288</v>
      </c>
      <c r="P79" s="32">
        <v>27.2</v>
      </c>
      <c r="Q79" s="33" t="s">
        <v>288</v>
      </c>
      <c r="R79" s="32">
        <v>66.8</v>
      </c>
      <c r="S79" s="33" t="s">
        <v>288</v>
      </c>
      <c r="T79" s="32"/>
      <c r="U79" s="37" t="s">
        <v>288</v>
      </c>
    </row>
    <row r="80" spans="1:21" ht="14.4" customHeight="1" x14ac:dyDescent="0.25">
      <c r="A80" s="31" t="s">
        <v>85</v>
      </c>
      <c r="B80" s="31"/>
      <c r="C80" s="31" t="s">
        <v>233</v>
      </c>
      <c r="D80" s="59">
        <v>34</v>
      </c>
      <c r="E80" s="60" t="s">
        <v>281</v>
      </c>
      <c r="F80" s="32">
        <f t="shared" si="72"/>
        <v>73</v>
      </c>
      <c r="G80" s="33">
        <f t="shared" si="29"/>
        <v>2482</v>
      </c>
      <c r="H80" s="32">
        <f t="shared" si="73"/>
        <v>275</v>
      </c>
      <c r="I80" s="33">
        <f>$D80*H80</f>
        <v>9350</v>
      </c>
      <c r="J80" s="32">
        <v>73</v>
      </c>
      <c r="K80" s="33">
        <f>$D80*J80</f>
        <v>2482</v>
      </c>
      <c r="L80" s="32">
        <v>275</v>
      </c>
      <c r="M80" s="33">
        <f>$D80*L80</f>
        <v>9350</v>
      </c>
      <c r="N80" s="32">
        <v>272.10000000000002</v>
      </c>
      <c r="O80" s="33">
        <f t="shared" ref="O80" si="92">$D80*N80</f>
        <v>9251.4000000000015</v>
      </c>
      <c r="P80" s="75">
        <v>2.2000000000000002</v>
      </c>
      <c r="Q80" s="33">
        <f t="shared" ref="Q80:Q82" si="93">$D80*P80</f>
        <v>74.800000000000011</v>
      </c>
      <c r="R80" s="32">
        <v>422.2</v>
      </c>
      <c r="S80" s="33">
        <f t="shared" ref="S80" si="94">$D80*R80</f>
        <v>14354.8</v>
      </c>
      <c r="T80" s="32"/>
      <c r="U80" s="33">
        <f>$D80*T80</f>
        <v>0</v>
      </c>
    </row>
    <row r="81" spans="1:21" ht="14.4" customHeight="1" x14ac:dyDescent="0.25">
      <c r="A81" s="31" t="s">
        <v>86</v>
      </c>
      <c r="B81" s="31"/>
      <c r="C81" s="31" t="s">
        <v>234</v>
      </c>
      <c r="D81" s="59">
        <v>6</v>
      </c>
      <c r="E81" s="60" t="s">
        <v>281</v>
      </c>
      <c r="F81" s="32">
        <f t="shared" si="72"/>
        <v>62</v>
      </c>
      <c r="G81" s="33">
        <f t="shared" si="29"/>
        <v>372</v>
      </c>
      <c r="H81" s="32">
        <f t="shared" si="73"/>
        <v>79</v>
      </c>
      <c r="I81" s="33">
        <f>$D81*H81</f>
        <v>474</v>
      </c>
      <c r="J81" s="32">
        <v>62</v>
      </c>
      <c r="K81" s="33">
        <f>$D81*J81</f>
        <v>372</v>
      </c>
      <c r="L81" s="32">
        <v>79</v>
      </c>
      <c r="M81" s="33">
        <f>$D81*L81</f>
        <v>474</v>
      </c>
      <c r="N81" s="32">
        <v>65</v>
      </c>
      <c r="O81" s="33">
        <f t="shared" ref="O81" si="95">$D81*N81</f>
        <v>390</v>
      </c>
      <c r="P81" s="32">
        <v>102</v>
      </c>
      <c r="Q81" s="33">
        <f t="shared" si="93"/>
        <v>612</v>
      </c>
      <c r="R81" s="32">
        <v>85.8</v>
      </c>
      <c r="S81" s="33">
        <f t="shared" ref="S81" si="96">$D81*R81</f>
        <v>514.79999999999995</v>
      </c>
      <c r="T81" s="32"/>
      <c r="U81" s="33">
        <f>$D81*T81</f>
        <v>0</v>
      </c>
    </row>
    <row r="82" spans="1:21" ht="14.4" customHeight="1" x14ac:dyDescent="0.25">
      <c r="A82" s="31" t="s">
        <v>87</v>
      </c>
      <c r="B82" s="31"/>
      <c r="C82" s="31" t="s">
        <v>235</v>
      </c>
      <c r="D82" s="59">
        <v>47</v>
      </c>
      <c r="E82" s="60" t="s">
        <v>281</v>
      </c>
      <c r="F82" s="32">
        <f t="shared" si="72"/>
        <v>65</v>
      </c>
      <c r="G82" s="33">
        <f t="shared" si="29"/>
        <v>3055</v>
      </c>
      <c r="H82" s="32">
        <f t="shared" si="73"/>
        <v>84</v>
      </c>
      <c r="I82" s="33">
        <f>$D82*H82</f>
        <v>3948</v>
      </c>
      <c r="J82" s="32">
        <v>65</v>
      </c>
      <c r="K82" s="33">
        <f>$D82*J82</f>
        <v>3055</v>
      </c>
      <c r="L82" s="32">
        <v>84</v>
      </c>
      <c r="M82" s="33">
        <f>$D82*L82</f>
        <v>3948</v>
      </c>
      <c r="N82" s="32">
        <v>65</v>
      </c>
      <c r="O82" s="33">
        <f t="shared" ref="O82" si="97">$D82*N82</f>
        <v>3055</v>
      </c>
      <c r="P82" s="32">
        <v>125</v>
      </c>
      <c r="Q82" s="33">
        <f t="shared" si="93"/>
        <v>5875</v>
      </c>
      <c r="R82" s="32">
        <v>136.1</v>
      </c>
      <c r="S82" s="33">
        <f t="shared" ref="S82" si="98">$D82*R82</f>
        <v>6396.7</v>
      </c>
      <c r="T82" s="32"/>
      <c r="U82" s="33">
        <f>$D82*T82</f>
        <v>0</v>
      </c>
    </row>
    <row r="83" spans="1:21" ht="14.4" customHeight="1" x14ac:dyDescent="0.25">
      <c r="A83" s="31" t="s">
        <v>88</v>
      </c>
      <c r="B83" s="31" t="s">
        <v>220</v>
      </c>
      <c r="C83" s="31" t="s">
        <v>236</v>
      </c>
      <c r="D83" s="59">
        <v>1</v>
      </c>
      <c r="E83" s="60" t="s">
        <v>281</v>
      </c>
      <c r="F83" s="32">
        <f t="shared" si="72"/>
        <v>75</v>
      </c>
      <c r="G83" s="33" t="s">
        <v>288</v>
      </c>
      <c r="H83" s="32">
        <f t="shared" si="73"/>
        <v>120</v>
      </c>
      <c r="I83" s="33" t="s">
        <v>288</v>
      </c>
      <c r="J83" s="32">
        <v>75</v>
      </c>
      <c r="K83" s="33" t="s">
        <v>288</v>
      </c>
      <c r="L83" s="32">
        <v>120</v>
      </c>
      <c r="M83" s="33" t="s">
        <v>288</v>
      </c>
      <c r="N83" s="32">
        <v>90</v>
      </c>
      <c r="O83" s="33" t="s">
        <v>288</v>
      </c>
      <c r="P83" s="32">
        <v>210</v>
      </c>
      <c r="Q83" s="33" t="s">
        <v>288</v>
      </c>
      <c r="R83" s="32">
        <v>153.5</v>
      </c>
      <c r="S83" s="33" t="s">
        <v>288</v>
      </c>
      <c r="T83" s="32"/>
      <c r="U83" s="37" t="s">
        <v>288</v>
      </c>
    </row>
    <row r="84" spans="1:21" ht="14.4" customHeight="1" x14ac:dyDescent="0.25">
      <c r="A84" s="31" t="s">
        <v>89</v>
      </c>
      <c r="B84" s="31"/>
      <c r="C84" s="31" t="s">
        <v>237</v>
      </c>
      <c r="D84" s="59">
        <v>56</v>
      </c>
      <c r="E84" s="60" t="s">
        <v>281</v>
      </c>
      <c r="F84" s="32">
        <f t="shared" si="72"/>
        <v>250</v>
      </c>
      <c r="G84" s="33">
        <f t="shared" si="29"/>
        <v>14000</v>
      </c>
      <c r="H84" s="32">
        <f t="shared" si="73"/>
        <v>117</v>
      </c>
      <c r="I84" s="33">
        <f>$D84*H84</f>
        <v>6552</v>
      </c>
      <c r="J84" s="32">
        <v>250</v>
      </c>
      <c r="K84" s="33">
        <f>$D84*J84</f>
        <v>14000</v>
      </c>
      <c r="L84" s="32">
        <v>117</v>
      </c>
      <c r="M84" s="33">
        <f>$D84*L84</f>
        <v>6552</v>
      </c>
      <c r="N84" s="32">
        <v>295</v>
      </c>
      <c r="O84" s="33">
        <f t="shared" ref="O84" si="99">$D84*N84</f>
        <v>16520</v>
      </c>
      <c r="P84" s="32">
        <v>502</v>
      </c>
      <c r="Q84" s="33">
        <f t="shared" ref="Q84:Q85" si="100">$D84*P84</f>
        <v>28112</v>
      </c>
      <c r="R84" s="32">
        <v>247.6</v>
      </c>
      <c r="S84" s="33">
        <f t="shared" ref="S84" si="101">$D84*R84</f>
        <v>13865.6</v>
      </c>
      <c r="T84" s="32"/>
      <c r="U84" s="33">
        <f>$D84*T84</f>
        <v>0</v>
      </c>
    </row>
    <row r="85" spans="1:21" ht="14.4" customHeight="1" x14ac:dyDescent="0.25">
      <c r="A85" s="31" t="s">
        <v>90</v>
      </c>
      <c r="B85" s="31"/>
      <c r="C85" s="31" t="s">
        <v>238</v>
      </c>
      <c r="D85" s="59">
        <v>17</v>
      </c>
      <c r="E85" s="60" t="s">
        <v>280</v>
      </c>
      <c r="F85" s="32">
        <f t="shared" si="72"/>
        <v>20</v>
      </c>
      <c r="G85" s="33">
        <f t="shared" si="29"/>
        <v>340</v>
      </c>
      <c r="H85" s="32">
        <f t="shared" si="73"/>
        <v>20</v>
      </c>
      <c r="I85" s="33">
        <f>$D85*H85</f>
        <v>340</v>
      </c>
      <c r="J85" s="32">
        <v>20</v>
      </c>
      <c r="K85" s="33">
        <f>$D85*J85</f>
        <v>340</v>
      </c>
      <c r="L85" s="32">
        <v>20</v>
      </c>
      <c r="M85" s="33">
        <f>$D85*L85</f>
        <v>340</v>
      </c>
      <c r="N85" s="32">
        <v>28.9</v>
      </c>
      <c r="O85" s="33">
        <f t="shared" ref="O85" si="102">$D85*N85</f>
        <v>491.29999999999995</v>
      </c>
      <c r="P85" s="32">
        <v>38.5</v>
      </c>
      <c r="Q85" s="33">
        <f t="shared" si="100"/>
        <v>654.5</v>
      </c>
      <c r="R85" s="32">
        <v>34.200000000000003</v>
      </c>
      <c r="S85" s="33">
        <f t="shared" ref="S85" si="103">$D85*R85</f>
        <v>581.40000000000009</v>
      </c>
      <c r="T85" s="32"/>
      <c r="U85" s="33">
        <f>$D85*T85</f>
        <v>0</v>
      </c>
    </row>
    <row r="86" spans="1:21" ht="14.4" customHeight="1" x14ac:dyDescent="0.25">
      <c r="A86" s="31" t="s">
        <v>91</v>
      </c>
      <c r="B86" s="31" t="s">
        <v>220</v>
      </c>
      <c r="C86" s="31" t="s">
        <v>239</v>
      </c>
      <c r="D86" s="59">
        <v>1</v>
      </c>
      <c r="E86" s="60" t="s">
        <v>281</v>
      </c>
      <c r="F86" s="32">
        <f t="shared" si="72"/>
        <v>10</v>
      </c>
      <c r="G86" s="33" t="s">
        <v>288</v>
      </c>
      <c r="H86" s="32">
        <f t="shared" si="73"/>
        <v>7</v>
      </c>
      <c r="I86" s="33" t="s">
        <v>288</v>
      </c>
      <c r="J86" s="32">
        <v>10</v>
      </c>
      <c r="K86" s="33" t="s">
        <v>288</v>
      </c>
      <c r="L86" s="32">
        <v>7</v>
      </c>
      <c r="M86" s="33" t="s">
        <v>288</v>
      </c>
      <c r="N86" s="32">
        <v>10</v>
      </c>
      <c r="O86" s="33" t="s">
        <v>288</v>
      </c>
      <c r="P86" s="32">
        <v>12</v>
      </c>
      <c r="Q86" s="33" t="s">
        <v>288</v>
      </c>
      <c r="R86" s="32">
        <v>8.4</v>
      </c>
      <c r="S86" s="33" t="s">
        <v>288</v>
      </c>
      <c r="T86" s="32"/>
      <c r="U86" s="37" t="s">
        <v>288</v>
      </c>
    </row>
    <row r="87" spans="1:21" ht="14.4" customHeight="1" x14ac:dyDescent="0.25">
      <c r="A87" s="31" t="s">
        <v>92</v>
      </c>
      <c r="B87" s="31" t="s">
        <v>220</v>
      </c>
      <c r="C87" s="31" t="s">
        <v>240</v>
      </c>
      <c r="D87" s="59">
        <v>1</v>
      </c>
      <c r="E87" s="60" t="s">
        <v>281</v>
      </c>
      <c r="F87" s="32">
        <f t="shared" si="72"/>
        <v>15</v>
      </c>
      <c r="G87" s="33" t="s">
        <v>288</v>
      </c>
      <c r="H87" s="32">
        <f t="shared" si="73"/>
        <v>9</v>
      </c>
      <c r="I87" s="33" t="s">
        <v>288</v>
      </c>
      <c r="J87" s="32">
        <v>15</v>
      </c>
      <c r="K87" s="33" t="s">
        <v>288</v>
      </c>
      <c r="L87" s="32">
        <v>9</v>
      </c>
      <c r="M87" s="33" t="s">
        <v>288</v>
      </c>
      <c r="N87" s="32">
        <v>25</v>
      </c>
      <c r="O87" s="33" t="s">
        <v>288</v>
      </c>
      <c r="P87" s="32">
        <v>20</v>
      </c>
      <c r="Q87" s="33" t="s">
        <v>288</v>
      </c>
      <c r="R87" s="32">
        <v>9.6</v>
      </c>
      <c r="S87" s="33" t="s">
        <v>288</v>
      </c>
      <c r="T87" s="32"/>
      <c r="U87" s="37" t="s">
        <v>288</v>
      </c>
    </row>
    <row r="88" spans="1:21" ht="14.4" customHeight="1" x14ac:dyDescent="0.25">
      <c r="A88" s="31" t="s">
        <v>93</v>
      </c>
      <c r="B88" s="31" t="s">
        <v>220</v>
      </c>
      <c r="C88" s="31" t="s">
        <v>241</v>
      </c>
      <c r="D88" s="59">
        <v>1</v>
      </c>
      <c r="E88" s="60" t="s">
        <v>281</v>
      </c>
      <c r="F88" s="32">
        <f t="shared" si="72"/>
        <v>10</v>
      </c>
      <c r="G88" s="33" t="s">
        <v>288</v>
      </c>
      <c r="H88" s="32">
        <f t="shared" si="73"/>
        <v>15</v>
      </c>
      <c r="I88" s="33" t="s">
        <v>288</v>
      </c>
      <c r="J88" s="32">
        <v>10</v>
      </c>
      <c r="K88" s="33" t="s">
        <v>288</v>
      </c>
      <c r="L88" s="32">
        <v>15</v>
      </c>
      <c r="M88" s="33" t="s">
        <v>288</v>
      </c>
      <c r="N88" s="32">
        <v>10</v>
      </c>
      <c r="O88" s="33" t="s">
        <v>288</v>
      </c>
      <c r="P88" s="32">
        <v>25</v>
      </c>
      <c r="Q88" s="33" t="s">
        <v>288</v>
      </c>
      <c r="R88" s="32">
        <v>4.9000000000000004</v>
      </c>
      <c r="S88" s="33" t="s">
        <v>288</v>
      </c>
      <c r="T88" s="32"/>
      <c r="U88" s="37" t="s">
        <v>288</v>
      </c>
    </row>
    <row r="89" spans="1:21" ht="14.4" customHeight="1" x14ac:dyDescent="0.25">
      <c r="A89" s="31" t="s">
        <v>94</v>
      </c>
      <c r="B89" s="31" t="s">
        <v>220</v>
      </c>
      <c r="C89" s="31" t="s">
        <v>242</v>
      </c>
      <c r="D89" s="59">
        <v>1</v>
      </c>
      <c r="E89" s="60" t="s">
        <v>281</v>
      </c>
      <c r="F89" s="32">
        <f t="shared" si="72"/>
        <v>15</v>
      </c>
      <c r="G89" s="33" t="s">
        <v>288</v>
      </c>
      <c r="H89" s="32">
        <f t="shared" si="73"/>
        <v>17</v>
      </c>
      <c r="I89" s="33" t="s">
        <v>288</v>
      </c>
      <c r="J89" s="32">
        <v>15</v>
      </c>
      <c r="K89" s="33" t="s">
        <v>288</v>
      </c>
      <c r="L89" s="32">
        <v>17</v>
      </c>
      <c r="M89" s="33" t="s">
        <v>288</v>
      </c>
      <c r="N89" s="32">
        <v>25</v>
      </c>
      <c r="O89" s="33" t="s">
        <v>288</v>
      </c>
      <c r="P89" s="32">
        <v>35</v>
      </c>
      <c r="Q89" s="33" t="s">
        <v>288</v>
      </c>
      <c r="R89" s="32">
        <v>7.3</v>
      </c>
      <c r="S89" s="33" t="s">
        <v>288</v>
      </c>
      <c r="T89" s="32"/>
      <c r="U89" s="37" t="s">
        <v>288</v>
      </c>
    </row>
    <row r="90" spans="1:21" ht="14.4" customHeight="1" x14ac:dyDescent="0.25">
      <c r="A90" s="31" t="s">
        <v>95</v>
      </c>
      <c r="B90" s="31" t="s">
        <v>220</v>
      </c>
      <c r="C90" s="31" t="s">
        <v>243</v>
      </c>
      <c r="D90" s="59">
        <v>1</v>
      </c>
      <c r="E90" s="60" t="s">
        <v>281</v>
      </c>
      <c r="F90" s="32">
        <f t="shared" si="72"/>
        <v>20</v>
      </c>
      <c r="G90" s="33" t="s">
        <v>288</v>
      </c>
      <c r="H90" s="32">
        <f t="shared" si="73"/>
        <v>6</v>
      </c>
      <c r="I90" s="33" t="s">
        <v>288</v>
      </c>
      <c r="J90" s="32">
        <v>20</v>
      </c>
      <c r="K90" s="33" t="s">
        <v>288</v>
      </c>
      <c r="L90" s="32">
        <v>6</v>
      </c>
      <c r="M90" s="33" t="s">
        <v>288</v>
      </c>
      <c r="N90" s="32">
        <v>3.5</v>
      </c>
      <c r="O90" s="33" t="s">
        <v>288</v>
      </c>
      <c r="P90" s="32">
        <v>8</v>
      </c>
      <c r="Q90" s="33" t="s">
        <v>288</v>
      </c>
      <c r="R90" s="32">
        <v>3.9</v>
      </c>
      <c r="S90" s="33" t="s">
        <v>288</v>
      </c>
      <c r="T90" s="32"/>
      <c r="U90" s="37" t="s">
        <v>288</v>
      </c>
    </row>
    <row r="91" spans="1:21" ht="14.4" customHeight="1" x14ac:dyDescent="0.25">
      <c r="A91" s="31" t="s">
        <v>96</v>
      </c>
      <c r="B91" s="31" t="s">
        <v>220</v>
      </c>
      <c r="C91" s="31" t="s">
        <v>244</v>
      </c>
      <c r="D91" s="59">
        <v>1</v>
      </c>
      <c r="E91" s="60" t="s">
        <v>281</v>
      </c>
      <c r="F91" s="32">
        <f t="shared" si="72"/>
        <v>30</v>
      </c>
      <c r="G91" s="33" t="s">
        <v>288</v>
      </c>
      <c r="H91" s="32">
        <f t="shared" si="73"/>
        <v>7</v>
      </c>
      <c r="I91" s="33" t="s">
        <v>288</v>
      </c>
      <c r="J91" s="32">
        <v>30</v>
      </c>
      <c r="K91" s="33" t="s">
        <v>288</v>
      </c>
      <c r="L91" s="32">
        <v>7</v>
      </c>
      <c r="M91" s="33" t="s">
        <v>288</v>
      </c>
      <c r="N91" s="32">
        <v>10</v>
      </c>
      <c r="O91" s="33" t="s">
        <v>288</v>
      </c>
      <c r="P91" s="32">
        <v>18</v>
      </c>
      <c r="Q91" s="33" t="s">
        <v>288</v>
      </c>
      <c r="R91" s="32">
        <v>5.6</v>
      </c>
      <c r="S91" s="33" t="s">
        <v>288</v>
      </c>
      <c r="T91" s="32"/>
      <c r="U91" s="37" t="s">
        <v>288</v>
      </c>
    </row>
    <row r="92" spans="1:21" ht="14.4" customHeight="1" x14ac:dyDescent="0.25">
      <c r="A92" s="31" t="s">
        <v>97</v>
      </c>
      <c r="B92" s="31" t="s">
        <v>220</v>
      </c>
      <c r="C92" s="31" t="s">
        <v>245</v>
      </c>
      <c r="D92" s="59">
        <v>1</v>
      </c>
      <c r="E92" s="60" t="s">
        <v>281</v>
      </c>
      <c r="F92" s="32">
        <f t="shared" si="72"/>
        <v>20</v>
      </c>
      <c r="G92" s="33" t="s">
        <v>288</v>
      </c>
      <c r="H92" s="32">
        <f t="shared" si="73"/>
        <v>8</v>
      </c>
      <c r="I92" s="33" t="s">
        <v>288</v>
      </c>
      <c r="J92" s="32">
        <v>20</v>
      </c>
      <c r="K92" s="33" t="s">
        <v>288</v>
      </c>
      <c r="L92" s="32">
        <v>8</v>
      </c>
      <c r="M92" s="33" t="s">
        <v>288</v>
      </c>
      <c r="N92" s="32">
        <v>3.5</v>
      </c>
      <c r="O92" s="33" t="s">
        <v>288</v>
      </c>
      <c r="P92" s="32">
        <v>15</v>
      </c>
      <c r="Q92" s="33" t="s">
        <v>288</v>
      </c>
      <c r="R92" s="32">
        <v>3.9</v>
      </c>
      <c r="S92" s="33" t="s">
        <v>288</v>
      </c>
      <c r="T92" s="32"/>
      <c r="U92" s="37" t="s">
        <v>288</v>
      </c>
    </row>
    <row r="93" spans="1:21" ht="14.4" customHeight="1" x14ac:dyDescent="0.25">
      <c r="A93" s="31" t="s">
        <v>98</v>
      </c>
      <c r="B93" s="31" t="s">
        <v>220</v>
      </c>
      <c r="C93" s="31" t="s">
        <v>246</v>
      </c>
      <c r="D93" s="59">
        <v>1</v>
      </c>
      <c r="E93" s="60" t="s">
        <v>281</v>
      </c>
      <c r="F93" s="32">
        <f t="shared" si="72"/>
        <v>30</v>
      </c>
      <c r="G93" s="33" t="s">
        <v>288</v>
      </c>
      <c r="H93" s="32">
        <f t="shared" si="73"/>
        <v>8</v>
      </c>
      <c r="I93" s="33" t="s">
        <v>288</v>
      </c>
      <c r="J93" s="32">
        <v>30</v>
      </c>
      <c r="K93" s="33" t="s">
        <v>288</v>
      </c>
      <c r="L93" s="32">
        <v>8</v>
      </c>
      <c r="M93" s="33" t="s">
        <v>288</v>
      </c>
      <c r="N93" s="32">
        <v>10</v>
      </c>
      <c r="O93" s="33" t="s">
        <v>288</v>
      </c>
      <c r="P93" s="32">
        <v>18</v>
      </c>
      <c r="Q93" s="33" t="s">
        <v>288</v>
      </c>
      <c r="R93" s="32">
        <v>5.6</v>
      </c>
      <c r="S93" s="33" t="s">
        <v>288</v>
      </c>
      <c r="T93" s="32"/>
      <c r="U93" s="37" t="s">
        <v>288</v>
      </c>
    </row>
    <row r="94" spans="1:21" ht="14.4" customHeight="1" x14ac:dyDescent="0.25">
      <c r="A94" s="31" t="s">
        <v>99</v>
      </c>
      <c r="B94" s="31" t="s">
        <v>220</v>
      </c>
      <c r="C94" s="31" t="s">
        <v>247</v>
      </c>
      <c r="D94" s="59">
        <v>10</v>
      </c>
      <c r="E94" s="60" t="s">
        <v>281</v>
      </c>
      <c r="F94" s="32">
        <f t="shared" si="72"/>
        <v>65</v>
      </c>
      <c r="G94" s="33" t="s">
        <v>288</v>
      </c>
      <c r="H94" s="32">
        <f t="shared" si="73"/>
        <v>9</v>
      </c>
      <c r="I94" s="33" t="s">
        <v>288</v>
      </c>
      <c r="J94" s="32">
        <v>65</v>
      </c>
      <c r="K94" s="33" t="s">
        <v>288</v>
      </c>
      <c r="L94" s="32">
        <v>9</v>
      </c>
      <c r="M94" s="33" t="s">
        <v>288</v>
      </c>
      <c r="N94" s="32">
        <v>20</v>
      </c>
      <c r="O94" s="33" t="s">
        <v>288</v>
      </c>
      <c r="P94" s="32">
        <v>90</v>
      </c>
      <c r="Q94" s="33" t="s">
        <v>288</v>
      </c>
      <c r="R94" s="32">
        <v>73.7</v>
      </c>
      <c r="S94" s="33" t="s">
        <v>288</v>
      </c>
      <c r="T94" s="32"/>
      <c r="U94" s="37" t="s">
        <v>288</v>
      </c>
    </row>
    <row r="95" spans="1:21" ht="14.4" customHeight="1" x14ac:dyDescent="0.25">
      <c r="A95" s="38" t="s">
        <v>72</v>
      </c>
      <c r="B95" s="38"/>
      <c r="C95" s="38" t="s">
        <v>222</v>
      </c>
      <c r="D95" s="63"/>
      <c r="E95" s="64"/>
      <c r="F95" s="39"/>
      <c r="G95" s="40">
        <f>SUM(G68:G94)</f>
        <v>100008</v>
      </c>
      <c r="H95" s="39"/>
      <c r="I95" s="40">
        <f>SUM(I68:I94)</f>
        <v>107204.7</v>
      </c>
      <c r="J95" s="39"/>
      <c r="K95" s="40">
        <f>SUM(K68:K94)</f>
        <v>100008</v>
      </c>
      <c r="L95" s="39"/>
      <c r="M95" s="40">
        <f>SUM(M68:M94)</f>
        <v>107204.7</v>
      </c>
      <c r="N95" s="39"/>
      <c r="O95" s="40">
        <f>SUM(O68:O94)</f>
        <v>121020.20000000003</v>
      </c>
      <c r="P95" s="39"/>
      <c r="Q95" s="40">
        <f>SUM(Q68:Q94)</f>
        <v>115769.30000000002</v>
      </c>
      <c r="R95" s="39"/>
      <c r="S95" s="40">
        <f>SUM(S68:S94)</f>
        <v>133361.59999999998</v>
      </c>
      <c r="T95" s="39"/>
      <c r="U95" s="40">
        <f>SUM(U68:U94)</f>
        <v>0</v>
      </c>
    </row>
    <row r="96" spans="1:21" ht="14.4" customHeight="1" x14ac:dyDescent="0.25">
      <c r="A96" s="31"/>
      <c r="B96" s="31"/>
      <c r="C96" s="31"/>
      <c r="D96" s="59"/>
      <c r="E96" s="60"/>
      <c r="F96" s="32"/>
      <c r="G96" s="33"/>
      <c r="H96" s="32"/>
      <c r="I96" s="33"/>
      <c r="J96" s="32"/>
      <c r="K96" s="33"/>
      <c r="L96" s="32"/>
      <c r="M96" s="33"/>
      <c r="N96" s="32"/>
      <c r="O96" s="33"/>
      <c r="P96" s="32"/>
      <c r="Q96" s="33"/>
      <c r="R96" s="32"/>
      <c r="S96" s="33"/>
      <c r="T96" s="32"/>
      <c r="U96" s="33"/>
    </row>
    <row r="97" spans="1:21" ht="14.4" customHeight="1" x14ac:dyDescent="0.25">
      <c r="A97" s="31" t="s">
        <v>101</v>
      </c>
      <c r="B97" s="31"/>
      <c r="C97" s="31" t="s">
        <v>249</v>
      </c>
      <c r="D97" s="59">
        <v>6</v>
      </c>
      <c r="E97" s="60" t="s">
        <v>279</v>
      </c>
      <c r="F97" s="32">
        <f t="shared" ref="F97:F109" si="104">J97</f>
        <v>62</v>
      </c>
      <c r="G97" s="33">
        <f t="shared" si="29"/>
        <v>372</v>
      </c>
      <c r="H97" s="32">
        <f t="shared" ref="H97:H109" si="105">L97</f>
        <v>45</v>
      </c>
      <c r="I97" s="33">
        <f>$D97*H97</f>
        <v>270</v>
      </c>
      <c r="J97" s="32">
        <v>62</v>
      </c>
      <c r="K97" s="33">
        <f>$D97*J97</f>
        <v>372</v>
      </c>
      <c r="L97" s="32">
        <v>45</v>
      </c>
      <c r="M97" s="33">
        <f>$D97*L97</f>
        <v>270</v>
      </c>
      <c r="N97" s="32">
        <v>49.9</v>
      </c>
      <c r="O97" s="33">
        <f t="shared" ref="O97" si="106">$D97*N97</f>
        <v>299.39999999999998</v>
      </c>
      <c r="P97" s="32">
        <v>48</v>
      </c>
      <c r="Q97" s="33">
        <f t="shared" ref="Q97" si="107">$D97*P97</f>
        <v>288</v>
      </c>
      <c r="R97" s="32">
        <v>43.4</v>
      </c>
      <c r="S97" s="33">
        <f t="shared" ref="S97" si="108">$D97*R97</f>
        <v>260.39999999999998</v>
      </c>
      <c r="T97" s="32"/>
      <c r="U97" s="33">
        <f>$D97*T97</f>
        <v>0</v>
      </c>
    </row>
    <row r="98" spans="1:21" ht="14.4" customHeight="1" x14ac:dyDescent="0.25">
      <c r="A98" s="31" t="s">
        <v>102</v>
      </c>
      <c r="B98" s="31" t="s">
        <v>220</v>
      </c>
      <c r="C98" s="31" t="s">
        <v>250</v>
      </c>
      <c r="D98" s="59">
        <v>1</v>
      </c>
      <c r="E98" s="60" t="s">
        <v>279</v>
      </c>
      <c r="F98" s="32">
        <f t="shared" si="104"/>
        <v>12</v>
      </c>
      <c r="G98" s="33" t="s">
        <v>288</v>
      </c>
      <c r="H98" s="32">
        <f t="shared" si="105"/>
        <v>9.9</v>
      </c>
      <c r="I98" s="33" t="s">
        <v>288</v>
      </c>
      <c r="J98" s="32">
        <v>12</v>
      </c>
      <c r="K98" s="33" t="s">
        <v>288</v>
      </c>
      <c r="L98" s="32">
        <v>9.9</v>
      </c>
      <c r="M98" s="33" t="s">
        <v>288</v>
      </c>
      <c r="N98" s="32">
        <v>9</v>
      </c>
      <c r="O98" s="33" t="s">
        <v>288</v>
      </c>
      <c r="P98" s="32">
        <v>16</v>
      </c>
      <c r="Q98" s="33" t="s">
        <v>288</v>
      </c>
      <c r="R98" s="32">
        <v>16.8</v>
      </c>
      <c r="S98" s="33" t="s">
        <v>288</v>
      </c>
      <c r="T98" s="32"/>
      <c r="U98" s="37" t="s">
        <v>288</v>
      </c>
    </row>
    <row r="99" spans="1:21" ht="14.4" customHeight="1" x14ac:dyDescent="0.25">
      <c r="A99" s="31" t="s">
        <v>103</v>
      </c>
      <c r="B99" s="31" t="s">
        <v>220</v>
      </c>
      <c r="C99" s="31" t="s">
        <v>251</v>
      </c>
      <c r="D99" s="59">
        <v>1</v>
      </c>
      <c r="E99" s="60" t="s">
        <v>279</v>
      </c>
      <c r="F99" s="32">
        <f t="shared" si="104"/>
        <v>4</v>
      </c>
      <c r="G99" s="33" t="s">
        <v>288</v>
      </c>
      <c r="H99" s="32">
        <f t="shared" si="105"/>
        <v>2.9</v>
      </c>
      <c r="I99" s="33" t="s">
        <v>288</v>
      </c>
      <c r="J99" s="32">
        <v>4</v>
      </c>
      <c r="K99" s="33" t="s">
        <v>288</v>
      </c>
      <c r="L99" s="32">
        <v>2.9</v>
      </c>
      <c r="M99" s="33" t="s">
        <v>288</v>
      </c>
      <c r="N99" s="32">
        <v>2.2999999999999998</v>
      </c>
      <c r="O99" s="33" t="s">
        <v>288</v>
      </c>
      <c r="P99" s="32">
        <v>4.2</v>
      </c>
      <c r="Q99" s="33" t="s">
        <v>288</v>
      </c>
      <c r="R99" s="32">
        <v>3.4</v>
      </c>
      <c r="S99" s="33" t="s">
        <v>288</v>
      </c>
      <c r="T99" s="32"/>
      <c r="U99" s="37" t="s">
        <v>288</v>
      </c>
    </row>
    <row r="100" spans="1:21" ht="14.4" customHeight="1" x14ac:dyDescent="0.25">
      <c r="A100" s="31" t="s">
        <v>104</v>
      </c>
      <c r="B100" s="31" t="s">
        <v>220</v>
      </c>
      <c r="C100" s="31" t="s">
        <v>252</v>
      </c>
      <c r="D100" s="59">
        <v>1</v>
      </c>
      <c r="E100" s="60" t="s">
        <v>279</v>
      </c>
      <c r="F100" s="32">
        <f t="shared" si="104"/>
        <v>8</v>
      </c>
      <c r="G100" s="33" t="s">
        <v>288</v>
      </c>
      <c r="H100" s="32">
        <f t="shared" si="105"/>
        <v>5.8</v>
      </c>
      <c r="I100" s="33" t="s">
        <v>288</v>
      </c>
      <c r="J100" s="32">
        <v>8</v>
      </c>
      <c r="K100" s="33" t="s">
        <v>288</v>
      </c>
      <c r="L100" s="32">
        <v>5.8</v>
      </c>
      <c r="M100" s="33" t="s">
        <v>288</v>
      </c>
      <c r="N100" s="32">
        <v>4.5999999999999996</v>
      </c>
      <c r="O100" s="33" t="s">
        <v>288</v>
      </c>
      <c r="P100" s="32">
        <v>8.4</v>
      </c>
      <c r="Q100" s="33" t="s">
        <v>288</v>
      </c>
      <c r="R100" s="32">
        <v>6.7</v>
      </c>
      <c r="S100" s="33" t="s">
        <v>288</v>
      </c>
      <c r="T100" s="32"/>
      <c r="U100" s="37" t="s">
        <v>288</v>
      </c>
    </row>
    <row r="101" spans="1:21" ht="14.4" customHeight="1" x14ac:dyDescent="0.25">
      <c r="A101" s="31" t="s">
        <v>105</v>
      </c>
      <c r="B101" s="31" t="s">
        <v>220</v>
      </c>
      <c r="C101" s="31" t="s">
        <v>253</v>
      </c>
      <c r="D101" s="59">
        <v>1</v>
      </c>
      <c r="E101" s="60" t="s">
        <v>279</v>
      </c>
      <c r="F101" s="32">
        <f t="shared" si="104"/>
        <v>6.95</v>
      </c>
      <c r="G101" s="33" t="s">
        <v>288</v>
      </c>
      <c r="H101" s="32">
        <f t="shared" si="105"/>
        <v>3.9</v>
      </c>
      <c r="I101" s="33" t="s">
        <v>288</v>
      </c>
      <c r="J101" s="32">
        <v>6.95</v>
      </c>
      <c r="K101" s="33" t="s">
        <v>288</v>
      </c>
      <c r="L101" s="32">
        <v>3.9</v>
      </c>
      <c r="M101" s="33" t="s">
        <v>288</v>
      </c>
      <c r="N101" s="32">
        <v>5</v>
      </c>
      <c r="O101" s="33" t="s">
        <v>288</v>
      </c>
      <c r="P101" s="32">
        <v>8.8000000000000007</v>
      </c>
      <c r="Q101" s="33" t="s">
        <v>288</v>
      </c>
      <c r="R101" s="32">
        <v>8</v>
      </c>
      <c r="S101" s="33" t="s">
        <v>288</v>
      </c>
      <c r="T101" s="32"/>
      <c r="U101" s="37" t="s">
        <v>288</v>
      </c>
    </row>
    <row r="102" spans="1:21" ht="14.4" customHeight="1" x14ac:dyDescent="0.25">
      <c r="A102" s="31" t="s">
        <v>106</v>
      </c>
      <c r="B102" s="31"/>
      <c r="C102" s="31" t="s">
        <v>254</v>
      </c>
      <c r="D102" s="59">
        <v>20</v>
      </c>
      <c r="E102" s="60" t="s">
        <v>280</v>
      </c>
      <c r="F102" s="32">
        <f t="shared" si="104"/>
        <v>15</v>
      </c>
      <c r="G102" s="33">
        <f t="shared" ref="G102:G152" si="109">$D102*F102</f>
        <v>300</v>
      </c>
      <c r="H102" s="32">
        <f t="shared" si="105"/>
        <v>6.9</v>
      </c>
      <c r="I102" s="33">
        <f>$D102*H102</f>
        <v>138</v>
      </c>
      <c r="J102" s="32">
        <v>15</v>
      </c>
      <c r="K102" s="33">
        <f>$D102*J102</f>
        <v>300</v>
      </c>
      <c r="L102" s="32">
        <v>6.9</v>
      </c>
      <c r="M102" s="33">
        <f t="shared" ref="M102:M107" si="110">$D102*L102</f>
        <v>138</v>
      </c>
      <c r="N102" s="32">
        <v>10.5</v>
      </c>
      <c r="O102" s="33">
        <f t="shared" ref="O102" si="111">$D102*N102</f>
        <v>210</v>
      </c>
      <c r="P102" s="32">
        <v>6.9</v>
      </c>
      <c r="Q102" s="33">
        <f t="shared" ref="Q102:Q107" si="112">$D102*P102</f>
        <v>138</v>
      </c>
      <c r="R102" s="32">
        <v>12.6</v>
      </c>
      <c r="S102" s="33">
        <f t="shared" ref="S102" si="113">$D102*R102</f>
        <v>252</v>
      </c>
      <c r="T102" s="32"/>
      <c r="U102" s="33">
        <f t="shared" ref="U102:U107" si="114">$D102*T102</f>
        <v>0</v>
      </c>
    </row>
    <row r="103" spans="1:21" ht="14.4" customHeight="1" x14ac:dyDescent="0.25">
      <c r="A103" s="31" t="s">
        <v>107</v>
      </c>
      <c r="B103" s="31"/>
      <c r="C103" s="31" t="s">
        <v>255</v>
      </c>
      <c r="D103" s="59">
        <v>20</v>
      </c>
      <c r="E103" s="60" t="s">
        <v>280</v>
      </c>
      <c r="F103" s="32">
        <f t="shared" si="104"/>
        <v>6.5</v>
      </c>
      <c r="G103" s="33">
        <f t="shared" si="109"/>
        <v>130</v>
      </c>
      <c r="H103" s="32">
        <f t="shared" si="105"/>
        <v>4.5</v>
      </c>
      <c r="I103" s="33">
        <f>$D103*H103</f>
        <v>90</v>
      </c>
      <c r="J103" s="32">
        <v>6.5</v>
      </c>
      <c r="K103" s="33">
        <f>$D103*J103</f>
        <v>130</v>
      </c>
      <c r="L103" s="32">
        <v>4.5</v>
      </c>
      <c r="M103" s="33">
        <f t="shared" si="110"/>
        <v>90</v>
      </c>
      <c r="N103" s="32">
        <v>4</v>
      </c>
      <c r="O103" s="33">
        <f t="shared" ref="O103" si="115">$D103*N103</f>
        <v>80</v>
      </c>
      <c r="P103" s="32">
        <v>6.5</v>
      </c>
      <c r="Q103" s="33">
        <f t="shared" si="112"/>
        <v>130</v>
      </c>
      <c r="R103" s="32">
        <v>8.6999999999999993</v>
      </c>
      <c r="S103" s="33">
        <f t="shared" ref="S103" si="116">$D103*R103</f>
        <v>174</v>
      </c>
      <c r="T103" s="32"/>
      <c r="U103" s="33">
        <f t="shared" si="114"/>
        <v>0</v>
      </c>
    </row>
    <row r="104" spans="1:21" ht="14.4" customHeight="1" x14ac:dyDescent="0.25">
      <c r="A104" s="31" t="s">
        <v>108</v>
      </c>
      <c r="B104" s="31"/>
      <c r="C104" s="31" t="s">
        <v>256</v>
      </c>
      <c r="D104" s="59">
        <v>10</v>
      </c>
      <c r="E104" s="60" t="s">
        <v>281</v>
      </c>
      <c r="F104" s="32">
        <f t="shared" si="104"/>
        <v>10</v>
      </c>
      <c r="G104" s="33">
        <f t="shared" si="109"/>
        <v>100</v>
      </c>
      <c r="H104" s="32">
        <f t="shared" si="105"/>
        <v>9.5</v>
      </c>
      <c r="I104" s="33">
        <f>$D104*H104</f>
        <v>95</v>
      </c>
      <c r="J104" s="32">
        <v>10</v>
      </c>
      <c r="K104" s="33">
        <f>$D104*J104</f>
        <v>100</v>
      </c>
      <c r="L104" s="32">
        <v>9.5</v>
      </c>
      <c r="M104" s="33">
        <f t="shared" si="110"/>
        <v>95</v>
      </c>
      <c r="N104" s="32">
        <v>25</v>
      </c>
      <c r="O104" s="33">
        <f t="shared" ref="O104" si="117">$D104*N104</f>
        <v>250</v>
      </c>
      <c r="P104" s="32">
        <v>25</v>
      </c>
      <c r="Q104" s="33">
        <f t="shared" si="112"/>
        <v>250</v>
      </c>
      <c r="R104" s="32">
        <v>14.8</v>
      </c>
      <c r="S104" s="33">
        <f t="shared" ref="S104" si="118">$D104*R104</f>
        <v>148</v>
      </c>
      <c r="T104" s="32"/>
      <c r="U104" s="33">
        <f t="shared" si="114"/>
        <v>0</v>
      </c>
    </row>
    <row r="105" spans="1:21" ht="14.4" customHeight="1" x14ac:dyDescent="0.25">
      <c r="A105" s="31" t="s">
        <v>109</v>
      </c>
      <c r="B105" s="31"/>
      <c r="C105" s="31" t="s">
        <v>257</v>
      </c>
      <c r="D105" s="59">
        <v>10</v>
      </c>
      <c r="E105" s="60" t="s">
        <v>281</v>
      </c>
      <c r="F105" s="32">
        <f t="shared" si="104"/>
        <v>20</v>
      </c>
      <c r="G105" s="33">
        <f t="shared" si="109"/>
        <v>200</v>
      </c>
      <c r="H105" s="32">
        <f t="shared" si="105"/>
        <v>8</v>
      </c>
      <c r="I105" s="33">
        <f>$D105*H105</f>
        <v>80</v>
      </c>
      <c r="J105" s="32">
        <v>20</v>
      </c>
      <c r="K105" s="33">
        <f>$D105*J105</f>
        <v>200</v>
      </c>
      <c r="L105" s="32">
        <v>8</v>
      </c>
      <c r="M105" s="33">
        <f t="shared" si="110"/>
        <v>80</v>
      </c>
      <c r="N105" s="32">
        <v>25</v>
      </c>
      <c r="O105" s="33">
        <f t="shared" ref="O105" si="119">$D105*N105</f>
        <v>250</v>
      </c>
      <c r="P105" s="32">
        <v>15</v>
      </c>
      <c r="Q105" s="33">
        <f t="shared" si="112"/>
        <v>150</v>
      </c>
      <c r="R105" s="32">
        <v>14.8</v>
      </c>
      <c r="S105" s="33">
        <f t="shared" ref="S105" si="120">$D105*R105</f>
        <v>148</v>
      </c>
      <c r="T105" s="32"/>
      <c r="U105" s="33">
        <f t="shared" si="114"/>
        <v>0</v>
      </c>
    </row>
    <row r="106" spans="1:21" ht="14.4" customHeight="1" x14ac:dyDescent="0.25">
      <c r="A106" s="31" t="s">
        <v>110</v>
      </c>
      <c r="B106" s="31"/>
      <c r="C106" s="31" t="s">
        <v>258</v>
      </c>
      <c r="D106" s="59">
        <v>5</v>
      </c>
      <c r="E106" s="60" t="s">
        <v>281</v>
      </c>
      <c r="F106" s="32">
        <f t="shared" si="104"/>
        <v>65</v>
      </c>
      <c r="G106" s="33">
        <f t="shared" si="109"/>
        <v>325</v>
      </c>
      <c r="H106" s="32">
        <f t="shared" si="105"/>
        <v>64</v>
      </c>
      <c r="I106" s="33">
        <f>$D106*H106</f>
        <v>320</v>
      </c>
      <c r="J106" s="32">
        <v>65</v>
      </c>
      <c r="K106" s="33">
        <f>$D106*J106</f>
        <v>325</v>
      </c>
      <c r="L106" s="32">
        <v>64</v>
      </c>
      <c r="M106" s="33">
        <f t="shared" si="110"/>
        <v>320</v>
      </c>
      <c r="N106" s="32">
        <v>88</v>
      </c>
      <c r="O106" s="33">
        <f t="shared" ref="O106" si="121">$D106*N106</f>
        <v>440</v>
      </c>
      <c r="P106" s="32">
        <v>55</v>
      </c>
      <c r="Q106" s="33">
        <f t="shared" si="112"/>
        <v>275</v>
      </c>
      <c r="R106" s="32">
        <v>74.3</v>
      </c>
      <c r="S106" s="33">
        <f t="shared" ref="S106" si="122">$D106*R106</f>
        <v>371.5</v>
      </c>
      <c r="T106" s="32"/>
      <c r="U106" s="33">
        <f t="shared" si="114"/>
        <v>0</v>
      </c>
    </row>
    <row r="107" spans="1:21" ht="14.4" customHeight="1" x14ac:dyDescent="0.25">
      <c r="A107" s="31" t="s">
        <v>111</v>
      </c>
      <c r="B107" s="31"/>
      <c r="C107" s="31" t="s">
        <v>259</v>
      </c>
      <c r="D107" s="59">
        <v>5</v>
      </c>
      <c r="E107" s="60" t="s">
        <v>281</v>
      </c>
      <c r="F107" s="32">
        <f t="shared" si="104"/>
        <v>80</v>
      </c>
      <c r="G107" s="33">
        <f t="shared" si="109"/>
        <v>400</v>
      </c>
      <c r="H107" s="32">
        <f t="shared" si="105"/>
        <v>77</v>
      </c>
      <c r="I107" s="33">
        <f>$D107*H107</f>
        <v>385</v>
      </c>
      <c r="J107" s="32">
        <v>80</v>
      </c>
      <c r="K107" s="33">
        <f>$D107*J107</f>
        <v>400</v>
      </c>
      <c r="L107" s="32">
        <v>77</v>
      </c>
      <c r="M107" s="33">
        <f t="shared" si="110"/>
        <v>385</v>
      </c>
      <c r="N107" s="32">
        <v>125</v>
      </c>
      <c r="O107" s="33">
        <f t="shared" ref="O107" si="123">$D107*N107</f>
        <v>625</v>
      </c>
      <c r="P107" s="32">
        <v>65</v>
      </c>
      <c r="Q107" s="33">
        <f t="shared" si="112"/>
        <v>325</v>
      </c>
      <c r="R107" s="32">
        <v>98.8</v>
      </c>
      <c r="S107" s="33">
        <f t="shared" ref="S107" si="124">$D107*R107</f>
        <v>494</v>
      </c>
      <c r="T107" s="32"/>
      <c r="U107" s="33">
        <f t="shared" si="114"/>
        <v>0</v>
      </c>
    </row>
    <row r="108" spans="1:21" ht="14.4" customHeight="1" x14ac:dyDescent="0.25">
      <c r="A108" s="31" t="s">
        <v>112</v>
      </c>
      <c r="B108" s="31" t="s">
        <v>220</v>
      </c>
      <c r="C108" s="31" t="s">
        <v>260</v>
      </c>
      <c r="D108" s="59">
        <v>1</v>
      </c>
      <c r="E108" s="60" t="s">
        <v>281</v>
      </c>
      <c r="F108" s="32">
        <f t="shared" si="104"/>
        <v>170</v>
      </c>
      <c r="G108" s="33" t="s">
        <v>288</v>
      </c>
      <c r="H108" s="32">
        <f t="shared" si="105"/>
        <v>190</v>
      </c>
      <c r="I108" s="33" t="s">
        <v>288</v>
      </c>
      <c r="J108" s="32">
        <v>170</v>
      </c>
      <c r="K108" s="33" t="s">
        <v>288</v>
      </c>
      <c r="L108" s="32">
        <v>190</v>
      </c>
      <c r="M108" s="33" t="s">
        <v>288</v>
      </c>
      <c r="N108" s="32">
        <v>239.95</v>
      </c>
      <c r="O108" s="33" t="s">
        <v>288</v>
      </c>
      <c r="P108" s="32">
        <v>280</v>
      </c>
      <c r="Q108" s="33" t="s">
        <v>288</v>
      </c>
      <c r="R108" s="32">
        <v>373</v>
      </c>
      <c r="S108" s="33" t="s">
        <v>288</v>
      </c>
      <c r="T108" s="32"/>
      <c r="U108" s="37" t="s">
        <v>288</v>
      </c>
    </row>
    <row r="109" spans="1:21" ht="14.4" customHeight="1" x14ac:dyDescent="0.25">
      <c r="A109" s="31" t="s">
        <v>113</v>
      </c>
      <c r="B109" s="31" t="s">
        <v>220</v>
      </c>
      <c r="C109" s="31" t="s">
        <v>261</v>
      </c>
      <c r="D109" s="59">
        <v>1</v>
      </c>
      <c r="E109" s="60" t="s">
        <v>281</v>
      </c>
      <c r="F109" s="32">
        <f t="shared" si="104"/>
        <v>200</v>
      </c>
      <c r="G109" s="33" t="s">
        <v>288</v>
      </c>
      <c r="H109" s="32">
        <f t="shared" si="105"/>
        <v>240</v>
      </c>
      <c r="I109" s="33" t="s">
        <v>288</v>
      </c>
      <c r="J109" s="32">
        <v>200</v>
      </c>
      <c r="K109" s="33" t="s">
        <v>288</v>
      </c>
      <c r="L109" s="32">
        <v>240</v>
      </c>
      <c r="M109" s="33" t="s">
        <v>288</v>
      </c>
      <c r="N109" s="32">
        <v>281.95</v>
      </c>
      <c r="O109" s="33" t="s">
        <v>288</v>
      </c>
      <c r="P109" s="32">
        <v>350</v>
      </c>
      <c r="Q109" s="33" t="s">
        <v>288</v>
      </c>
      <c r="R109" s="32">
        <v>420.8</v>
      </c>
      <c r="S109" s="33" t="s">
        <v>288</v>
      </c>
      <c r="T109" s="32"/>
      <c r="U109" s="37" t="s">
        <v>288</v>
      </c>
    </row>
    <row r="110" spans="1:21" ht="14.4" customHeight="1" x14ac:dyDescent="0.25">
      <c r="A110" s="38" t="s">
        <v>100</v>
      </c>
      <c r="B110" s="38"/>
      <c r="C110" s="38" t="s">
        <v>248</v>
      </c>
      <c r="D110" s="63"/>
      <c r="E110" s="64"/>
      <c r="F110" s="39"/>
      <c r="G110" s="40">
        <f>SUM(G97:G109)</f>
        <v>1827</v>
      </c>
      <c r="H110" s="39"/>
      <c r="I110" s="40">
        <f>SUM(I97:I109)</f>
        <v>1378</v>
      </c>
      <c r="J110" s="39"/>
      <c r="K110" s="40">
        <f>SUM(K97:K109)</f>
        <v>1827</v>
      </c>
      <c r="L110" s="39"/>
      <c r="M110" s="40">
        <f>SUM(M97:M109)</f>
        <v>1378</v>
      </c>
      <c r="N110" s="39"/>
      <c r="O110" s="40">
        <f>SUM(O97:O109)</f>
        <v>2154.4</v>
      </c>
      <c r="P110" s="39"/>
      <c r="Q110" s="40">
        <f>SUM(Q97:Q109)</f>
        <v>1556</v>
      </c>
      <c r="R110" s="39"/>
      <c r="S110" s="40">
        <f>SUM(S97:S109)</f>
        <v>1847.9</v>
      </c>
      <c r="T110" s="39"/>
      <c r="U110" s="40">
        <f>SUM(U97:U109)</f>
        <v>0</v>
      </c>
    </row>
    <row r="111" spans="1:21" ht="14.4" customHeight="1" x14ac:dyDescent="0.25">
      <c r="A111" s="31"/>
      <c r="B111" s="31"/>
      <c r="C111" s="31"/>
      <c r="D111" s="59"/>
      <c r="E111" s="60"/>
      <c r="F111" s="32"/>
      <c r="G111" s="33"/>
      <c r="H111" s="32"/>
      <c r="I111" s="33"/>
      <c r="J111" s="32"/>
      <c r="K111" s="33"/>
      <c r="L111" s="32"/>
      <c r="M111" s="33"/>
      <c r="N111" s="32"/>
      <c r="O111" s="33"/>
      <c r="P111" s="32"/>
      <c r="Q111" s="33"/>
      <c r="R111" s="32"/>
      <c r="S111" s="33"/>
      <c r="T111" s="32"/>
      <c r="U111" s="33"/>
    </row>
    <row r="112" spans="1:21" ht="14.4" customHeight="1" x14ac:dyDescent="0.25">
      <c r="A112" s="31" t="s">
        <v>115</v>
      </c>
      <c r="B112" s="31"/>
      <c r="C112" s="31" t="s">
        <v>263</v>
      </c>
      <c r="D112" s="59">
        <v>58</v>
      </c>
      <c r="E112" s="60" t="s">
        <v>279</v>
      </c>
      <c r="F112" s="32">
        <f t="shared" ref="F112:F116" si="125">J112</f>
        <v>75</v>
      </c>
      <c r="G112" s="33">
        <f t="shared" si="109"/>
        <v>4350</v>
      </c>
      <c r="H112" s="32">
        <f t="shared" ref="H112:H116" si="126">L112</f>
        <v>62</v>
      </c>
      <c r="I112" s="33">
        <f>$D112*H112</f>
        <v>3596</v>
      </c>
      <c r="J112" s="32">
        <v>75</v>
      </c>
      <c r="K112" s="33">
        <f>$D112*J112</f>
        <v>4350</v>
      </c>
      <c r="L112" s="32">
        <v>62</v>
      </c>
      <c r="M112" s="33">
        <f>$D112*L112</f>
        <v>3596</v>
      </c>
      <c r="N112" s="32">
        <v>102.25</v>
      </c>
      <c r="O112" s="33">
        <f t="shared" ref="O112" si="127">$D112*N112</f>
        <v>5930.5</v>
      </c>
      <c r="P112" s="32">
        <v>131.5</v>
      </c>
      <c r="Q112" s="33">
        <f t="shared" ref="Q112:Q116" si="128">$D112*P112</f>
        <v>7627</v>
      </c>
      <c r="R112" s="32">
        <v>87.5</v>
      </c>
      <c r="S112" s="33">
        <f t="shared" ref="S112" si="129">$D112*R112</f>
        <v>5075</v>
      </c>
      <c r="T112" s="32"/>
      <c r="U112" s="33">
        <f>$D112*T112</f>
        <v>0</v>
      </c>
    </row>
    <row r="113" spans="1:21" ht="14.4" customHeight="1" x14ac:dyDescent="0.25">
      <c r="A113" s="31" t="s">
        <v>116</v>
      </c>
      <c r="B113" s="31"/>
      <c r="C113" s="31" t="s">
        <v>264</v>
      </c>
      <c r="D113" s="59">
        <v>10</v>
      </c>
      <c r="E113" s="60" t="s">
        <v>280</v>
      </c>
      <c r="F113" s="32">
        <f t="shared" si="125"/>
        <v>22</v>
      </c>
      <c r="G113" s="33">
        <f t="shared" si="109"/>
        <v>220</v>
      </c>
      <c r="H113" s="32">
        <f t="shared" si="126"/>
        <v>9</v>
      </c>
      <c r="I113" s="33">
        <f>$D113*H113</f>
        <v>90</v>
      </c>
      <c r="J113" s="32">
        <v>22</v>
      </c>
      <c r="K113" s="33">
        <f>$D113*J113</f>
        <v>220</v>
      </c>
      <c r="L113" s="32">
        <v>9</v>
      </c>
      <c r="M113" s="33">
        <f>$D113*L113</f>
        <v>90</v>
      </c>
      <c r="N113" s="32">
        <v>10.9</v>
      </c>
      <c r="O113" s="33">
        <f t="shared" ref="O113" si="130">$D113*N113</f>
        <v>109</v>
      </c>
      <c r="P113" s="32">
        <v>26.2</v>
      </c>
      <c r="Q113" s="33">
        <f t="shared" si="128"/>
        <v>262</v>
      </c>
      <c r="R113" s="32">
        <v>20.6</v>
      </c>
      <c r="S113" s="33">
        <f t="shared" ref="S113" si="131">$D113*R113</f>
        <v>206</v>
      </c>
      <c r="T113" s="32"/>
      <c r="U113" s="33">
        <f>$D113*T113</f>
        <v>0</v>
      </c>
    </row>
    <row r="114" spans="1:21" ht="14.4" customHeight="1" x14ac:dyDescent="0.25">
      <c r="A114" s="31" t="s">
        <v>117</v>
      </c>
      <c r="B114" s="31"/>
      <c r="C114" s="31" t="s">
        <v>265</v>
      </c>
      <c r="D114" s="59">
        <v>32</v>
      </c>
      <c r="E114" s="60" t="s">
        <v>280</v>
      </c>
      <c r="F114" s="32">
        <f t="shared" si="125"/>
        <v>28</v>
      </c>
      <c r="G114" s="33">
        <f t="shared" si="109"/>
        <v>896</v>
      </c>
      <c r="H114" s="32">
        <f t="shared" si="126"/>
        <v>67</v>
      </c>
      <c r="I114" s="33">
        <f>$D114*H114</f>
        <v>2144</v>
      </c>
      <c r="J114" s="32">
        <v>28</v>
      </c>
      <c r="K114" s="33">
        <f>$D114*J114</f>
        <v>896</v>
      </c>
      <c r="L114" s="32">
        <v>67</v>
      </c>
      <c r="M114" s="33">
        <f>$D114*L114</f>
        <v>2144</v>
      </c>
      <c r="N114" s="32">
        <v>36</v>
      </c>
      <c r="O114" s="33">
        <f t="shared" ref="O114" si="132">$D114*N114</f>
        <v>1152</v>
      </c>
      <c r="P114" s="32">
        <v>35</v>
      </c>
      <c r="Q114" s="33">
        <f t="shared" si="128"/>
        <v>1120</v>
      </c>
      <c r="R114" s="32">
        <v>20.6</v>
      </c>
      <c r="S114" s="33">
        <f t="shared" ref="S114" si="133">$D114*R114</f>
        <v>659.2</v>
      </c>
      <c r="T114" s="32"/>
      <c r="U114" s="33">
        <f>$D114*T114</f>
        <v>0</v>
      </c>
    </row>
    <row r="115" spans="1:21" ht="14.4" customHeight="1" x14ac:dyDescent="0.25">
      <c r="A115" s="31" t="s">
        <v>118</v>
      </c>
      <c r="B115" s="31"/>
      <c r="C115" s="31" t="s">
        <v>266</v>
      </c>
      <c r="D115" s="59">
        <v>5</v>
      </c>
      <c r="E115" s="60" t="s">
        <v>281</v>
      </c>
      <c r="F115" s="32">
        <f t="shared" si="125"/>
        <v>15</v>
      </c>
      <c r="G115" s="33">
        <f t="shared" si="109"/>
        <v>75</v>
      </c>
      <c r="H115" s="32">
        <f t="shared" si="126"/>
        <v>9</v>
      </c>
      <c r="I115" s="33">
        <f>$D115*H115</f>
        <v>45</v>
      </c>
      <c r="J115" s="32">
        <v>15</v>
      </c>
      <c r="K115" s="33">
        <f>$D115*J115</f>
        <v>75</v>
      </c>
      <c r="L115" s="32">
        <v>9</v>
      </c>
      <c r="M115" s="33">
        <f>$D115*L115</f>
        <v>45</v>
      </c>
      <c r="N115" s="32">
        <v>25</v>
      </c>
      <c r="O115" s="33">
        <f t="shared" ref="O115" si="134">$D115*N115</f>
        <v>125</v>
      </c>
      <c r="P115" s="32">
        <v>26</v>
      </c>
      <c r="Q115" s="33">
        <f t="shared" si="128"/>
        <v>130</v>
      </c>
      <c r="R115" s="32">
        <v>86.5</v>
      </c>
      <c r="S115" s="33">
        <f t="shared" ref="S115" si="135">$D115*R115</f>
        <v>432.5</v>
      </c>
      <c r="T115" s="32"/>
      <c r="U115" s="33">
        <f>$D115*T115</f>
        <v>0</v>
      </c>
    </row>
    <row r="116" spans="1:21" ht="14.4" customHeight="1" x14ac:dyDescent="0.25">
      <c r="A116" s="31" t="s">
        <v>119</v>
      </c>
      <c r="B116" s="31"/>
      <c r="C116" s="31" t="s">
        <v>267</v>
      </c>
      <c r="D116" s="59">
        <v>5</v>
      </c>
      <c r="E116" s="60" t="s">
        <v>281</v>
      </c>
      <c r="F116" s="32">
        <f t="shared" si="125"/>
        <v>30</v>
      </c>
      <c r="G116" s="33">
        <f t="shared" si="109"/>
        <v>150</v>
      </c>
      <c r="H116" s="32">
        <f t="shared" si="126"/>
        <v>12</v>
      </c>
      <c r="I116" s="33">
        <f>$D116*H116</f>
        <v>60</v>
      </c>
      <c r="J116" s="32">
        <v>30</v>
      </c>
      <c r="K116" s="33">
        <f>$D116*J116</f>
        <v>150</v>
      </c>
      <c r="L116" s="32">
        <v>12</v>
      </c>
      <c r="M116" s="33">
        <f>$D116*L116</f>
        <v>60</v>
      </c>
      <c r="N116" s="32">
        <v>25</v>
      </c>
      <c r="O116" s="33">
        <f t="shared" ref="O116" si="136">$D116*N116</f>
        <v>125</v>
      </c>
      <c r="P116" s="32">
        <v>35</v>
      </c>
      <c r="Q116" s="33">
        <f t="shared" si="128"/>
        <v>175</v>
      </c>
      <c r="R116" s="32">
        <v>72.099999999999994</v>
      </c>
      <c r="S116" s="33">
        <f t="shared" ref="S116" si="137">$D116*R116</f>
        <v>360.5</v>
      </c>
      <c r="T116" s="32"/>
      <c r="U116" s="33">
        <f>$D116*T116</f>
        <v>0</v>
      </c>
    </row>
    <row r="117" spans="1:21" ht="14.4" customHeight="1" x14ac:dyDescent="0.25">
      <c r="A117" s="38" t="s">
        <v>114</v>
      </c>
      <c r="B117" s="38"/>
      <c r="C117" s="38" t="s">
        <v>262</v>
      </c>
      <c r="D117" s="63"/>
      <c r="E117" s="64"/>
      <c r="F117" s="39"/>
      <c r="G117" s="40">
        <f>SUM(G112:G116)</f>
        <v>5691</v>
      </c>
      <c r="H117" s="39"/>
      <c r="I117" s="40">
        <f>SUM(I112:I116)</f>
        <v>5935</v>
      </c>
      <c r="J117" s="39"/>
      <c r="K117" s="40">
        <f>SUM(K112:K116)</f>
        <v>5691</v>
      </c>
      <c r="L117" s="39"/>
      <c r="M117" s="40">
        <f>SUM(M112:M116)</f>
        <v>5935</v>
      </c>
      <c r="N117" s="39"/>
      <c r="O117" s="40">
        <f>SUM(O112:O116)</f>
        <v>7441.5</v>
      </c>
      <c r="P117" s="39"/>
      <c r="Q117" s="40">
        <f>SUM(Q112:Q116)</f>
        <v>9314</v>
      </c>
      <c r="R117" s="39"/>
      <c r="S117" s="40">
        <f>SUM(S112:S116)</f>
        <v>6733.2</v>
      </c>
      <c r="T117" s="39"/>
      <c r="U117" s="40">
        <f>SUM(U112:U116)</f>
        <v>0</v>
      </c>
    </row>
    <row r="118" spans="1:21" ht="14.4" customHeight="1" x14ac:dyDescent="0.25">
      <c r="A118" s="31"/>
      <c r="B118" s="31"/>
      <c r="C118" s="31"/>
      <c r="D118" s="59"/>
      <c r="E118" s="60"/>
      <c r="F118" s="32"/>
      <c r="G118" s="33"/>
      <c r="H118" s="32"/>
      <c r="I118" s="33"/>
      <c r="J118" s="32"/>
      <c r="K118" s="33"/>
      <c r="L118" s="32"/>
      <c r="M118" s="33"/>
      <c r="N118" s="32"/>
      <c r="O118" s="33"/>
      <c r="P118" s="32"/>
      <c r="Q118" s="33"/>
      <c r="R118" s="32"/>
      <c r="S118" s="33"/>
      <c r="T118" s="32"/>
      <c r="U118" s="33"/>
    </row>
    <row r="119" spans="1:21" ht="14.4" customHeight="1" x14ac:dyDescent="0.25">
      <c r="A119" s="31" t="s">
        <v>121</v>
      </c>
      <c r="B119" s="31"/>
      <c r="C119" s="31" t="s">
        <v>269</v>
      </c>
      <c r="D119" s="59">
        <v>5</v>
      </c>
      <c r="E119" s="60" t="s">
        <v>280</v>
      </c>
      <c r="F119" s="32">
        <f t="shared" ref="F119:F122" si="138">J119</f>
        <v>38</v>
      </c>
      <c r="G119" s="33">
        <f t="shared" si="109"/>
        <v>190</v>
      </c>
      <c r="H119" s="32">
        <f t="shared" ref="H119:H122" si="139">L119</f>
        <v>85</v>
      </c>
      <c r="I119" s="33">
        <f>$D119*H119</f>
        <v>425</v>
      </c>
      <c r="J119" s="32">
        <v>38</v>
      </c>
      <c r="K119" s="33">
        <f>$D119*J119</f>
        <v>190</v>
      </c>
      <c r="L119" s="32">
        <v>85</v>
      </c>
      <c r="M119" s="33">
        <f>$D119*L119</f>
        <v>425</v>
      </c>
      <c r="N119" s="32">
        <v>39.5</v>
      </c>
      <c r="O119" s="33">
        <f t="shared" ref="O119" si="140">$D119*N119</f>
        <v>197.5</v>
      </c>
      <c r="P119" s="32">
        <v>65.2</v>
      </c>
      <c r="Q119" s="33">
        <f t="shared" ref="Q119" si="141">$D119*P119</f>
        <v>326</v>
      </c>
      <c r="R119" s="32">
        <v>66.599999999999994</v>
      </c>
      <c r="S119" s="33">
        <f t="shared" ref="S119" si="142">$D119*R119</f>
        <v>333</v>
      </c>
      <c r="T119" s="32"/>
      <c r="U119" s="33">
        <f>$D119*T119</f>
        <v>0</v>
      </c>
    </row>
    <row r="120" spans="1:21" ht="14.4" customHeight="1" x14ac:dyDescent="0.25">
      <c r="A120" s="31" t="s">
        <v>122</v>
      </c>
      <c r="B120" s="31" t="s">
        <v>220</v>
      </c>
      <c r="C120" s="31" t="s">
        <v>270</v>
      </c>
      <c r="D120" s="59">
        <v>1</v>
      </c>
      <c r="E120" s="60" t="s">
        <v>280</v>
      </c>
      <c r="F120" s="32">
        <f t="shared" si="138"/>
        <v>48</v>
      </c>
      <c r="G120" s="33" t="s">
        <v>288</v>
      </c>
      <c r="H120" s="32">
        <f t="shared" si="139"/>
        <v>95</v>
      </c>
      <c r="I120" s="33" t="s">
        <v>288</v>
      </c>
      <c r="J120" s="32">
        <v>48</v>
      </c>
      <c r="K120" s="33" t="s">
        <v>288</v>
      </c>
      <c r="L120" s="32">
        <v>95</v>
      </c>
      <c r="M120" s="33" t="s">
        <v>288</v>
      </c>
      <c r="N120" s="32">
        <v>48.5</v>
      </c>
      <c r="O120" s="33" t="s">
        <v>288</v>
      </c>
      <c r="P120" s="32">
        <v>95</v>
      </c>
      <c r="Q120" s="33" t="s">
        <v>288</v>
      </c>
      <c r="R120" s="32">
        <v>73.900000000000006</v>
      </c>
      <c r="S120" s="33" t="s">
        <v>288</v>
      </c>
      <c r="T120" s="32"/>
      <c r="U120" s="37" t="s">
        <v>288</v>
      </c>
    </row>
    <row r="121" spans="1:21" ht="14.4" customHeight="1" x14ac:dyDescent="0.25">
      <c r="A121" s="31" t="s">
        <v>123</v>
      </c>
      <c r="B121" s="31"/>
      <c r="C121" s="31" t="s">
        <v>271</v>
      </c>
      <c r="D121" s="59">
        <v>5.6</v>
      </c>
      <c r="E121" s="60" t="s">
        <v>280</v>
      </c>
      <c r="F121" s="32">
        <f t="shared" si="138"/>
        <v>65</v>
      </c>
      <c r="G121" s="33">
        <f t="shared" si="109"/>
        <v>364</v>
      </c>
      <c r="H121" s="32">
        <f t="shared" si="139"/>
        <v>52</v>
      </c>
      <c r="I121" s="33">
        <f>$D121*H121</f>
        <v>291.2</v>
      </c>
      <c r="J121" s="32">
        <v>65</v>
      </c>
      <c r="K121" s="33">
        <f>$D121*J121</f>
        <v>364</v>
      </c>
      <c r="L121" s="32">
        <v>52</v>
      </c>
      <c r="M121" s="33">
        <f>$D121*L121</f>
        <v>291.2</v>
      </c>
      <c r="N121" s="32">
        <v>90</v>
      </c>
      <c r="O121" s="33">
        <f t="shared" ref="O121" si="143">$D121*N121</f>
        <v>503.99999999999994</v>
      </c>
      <c r="P121" s="32">
        <v>84.4</v>
      </c>
      <c r="Q121" s="33">
        <f t="shared" ref="Q121:Q122" si="144">$D121*P121</f>
        <v>472.64</v>
      </c>
      <c r="R121" s="32">
        <v>184.7</v>
      </c>
      <c r="S121" s="33">
        <f t="shared" ref="S121" si="145">$D121*R121</f>
        <v>1034.32</v>
      </c>
      <c r="T121" s="32"/>
      <c r="U121" s="33">
        <f>$D121*T121</f>
        <v>0</v>
      </c>
    </row>
    <row r="122" spans="1:21" ht="14.4" customHeight="1" x14ac:dyDescent="0.25">
      <c r="A122" s="31" t="s">
        <v>124</v>
      </c>
      <c r="B122" s="31"/>
      <c r="C122" s="31" t="s">
        <v>272</v>
      </c>
      <c r="D122" s="59">
        <v>7.7</v>
      </c>
      <c r="E122" s="60" t="s">
        <v>280</v>
      </c>
      <c r="F122" s="32">
        <f t="shared" si="138"/>
        <v>6.5</v>
      </c>
      <c r="G122" s="33">
        <f t="shared" si="109"/>
        <v>50.050000000000004</v>
      </c>
      <c r="H122" s="32">
        <f t="shared" si="139"/>
        <v>4.5</v>
      </c>
      <c r="I122" s="33">
        <f>$D122*H122</f>
        <v>34.65</v>
      </c>
      <c r="J122" s="32">
        <v>6.5</v>
      </c>
      <c r="K122" s="33">
        <f>$D122*J122</f>
        <v>50.050000000000004</v>
      </c>
      <c r="L122" s="32">
        <v>4.5</v>
      </c>
      <c r="M122" s="33">
        <f>$D122*L122</f>
        <v>34.65</v>
      </c>
      <c r="N122" s="32">
        <v>4</v>
      </c>
      <c r="O122" s="33">
        <f t="shared" ref="O122" si="146">$D122*N122</f>
        <v>30.8</v>
      </c>
      <c r="P122" s="32">
        <v>6.9</v>
      </c>
      <c r="Q122" s="33">
        <f t="shared" si="144"/>
        <v>53.13</v>
      </c>
      <c r="R122" s="32">
        <v>11.5</v>
      </c>
      <c r="S122" s="33">
        <f t="shared" ref="S122" si="147">$D122*R122</f>
        <v>88.55</v>
      </c>
      <c r="T122" s="32"/>
      <c r="U122" s="33">
        <f>$D122*T122</f>
        <v>0</v>
      </c>
    </row>
    <row r="123" spans="1:21" ht="14.4" customHeight="1" x14ac:dyDescent="0.25">
      <c r="A123" s="38" t="s">
        <v>120</v>
      </c>
      <c r="B123" s="38"/>
      <c r="C123" s="38" t="s">
        <v>268</v>
      </c>
      <c r="D123" s="63"/>
      <c r="E123" s="64"/>
      <c r="F123" s="39"/>
      <c r="G123" s="40">
        <f>SUM(G119:G122)</f>
        <v>604.04999999999995</v>
      </c>
      <c r="H123" s="39"/>
      <c r="I123" s="40">
        <f>SUM(I119:I122)</f>
        <v>750.85</v>
      </c>
      <c r="J123" s="39"/>
      <c r="K123" s="40">
        <f>SUM(K119:K122)</f>
        <v>604.04999999999995</v>
      </c>
      <c r="L123" s="39"/>
      <c r="M123" s="40">
        <f>SUM(M119:M122)</f>
        <v>750.85</v>
      </c>
      <c r="N123" s="39"/>
      <c r="O123" s="40">
        <f>SUM(O119:O122)</f>
        <v>732.3</v>
      </c>
      <c r="P123" s="39"/>
      <c r="Q123" s="40">
        <f>SUM(Q119:Q122)</f>
        <v>851.77</v>
      </c>
      <c r="R123" s="39"/>
      <c r="S123" s="40">
        <f>SUM(S119:S122)</f>
        <v>1455.87</v>
      </c>
      <c r="T123" s="39"/>
      <c r="U123" s="40">
        <f>SUM(U119:U122)</f>
        <v>0</v>
      </c>
    </row>
    <row r="124" spans="1:21" ht="14.4" customHeight="1" x14ac:dyDescent="0.25">
      <c r="A124" s="31"/>
      <c r="B124" s="31"/>
      <c r="C124" s="31"/>
      <c r="D124" s="59"/>
      <c r="E124" s="60"/>
      <c r="F124" s="32"/>
      <c r="G124" s="33"/>
      <c r="H124" s="32"/>
      <c r="I124" s="33"/>
      <c r="J124" s="32"/>
      <c r="K124" s="33"/>
      <c r="L124" s="32"/>
      <c r="M124" s="33"/>
      <c r="N124" s="32"/>
      <c r="O124" s="33"/>
      <c r="P124" s="32"/>
      <c r="Q124" s="33"/>
      <c r="R124" s="32"/>
      <c r="S124" s="33"/>
      <c r="T124" s="32"/>
      <c r="U124" s="33"/>
    </row>
    <row r="125" spans="1:21" ht="14.4" customHeight="1" x14ac:dyDescent="0.25">
      <c r="A125" s="34" t="s">
        <v>125</v>
      </c>
      <c r="B125" s="34"/>
      <c r="C125" s="34" t="s">
        <v>276</v>
      </c>
      <c r="D125" s="61"/>
      <c r="E125" s="62"/>
      <c r="F125" s="35"/>
      <c r="G125" s="36"/>
      <c r="H125" s="35"/>
      <c r="I125" s="36"/>
      <c r="J125" s="35"/>
      <c r="K125" s="36"/>
      <c r="L125" s="35"/>
      <c r="M125" s="36"/>
      <c r="N125" s="35"/>
      <c r="O125" s="36"/>
      <c r="P125" s="35"/>
      <c r="Q125" s="36"/>
      <c r="R125" s="35"/>
      <c r="S125" s="36"/>
      <c r="T125" s="35"/>
      <c r="U125" s="36"/>
    </row>
    <row r="126" spans="1:21" ht="14.4" customHeight="1" x14ac:dyDescent="0.25">
      <c r="A126" s="31" t="s">
        <v>127</v>
      </c>
      <c r="B126" s="31"/>
      <c r="C126" s="31" t="s">
        <v>223</v>
      </c>
      <c r="D126" s="59">
        <v>215</v>
      </c>
      <c r="E126" s="60" t="s">
        <v>279</v>
      </c>
      <c r="F126" s="32">
        <f t="shared" ref="F126:F149" si="148">J126</f>
        <v>54</v>
      </c>
      <c r="G126" s="33">
        <f t="shared" si="109"/>
        <v>11610</v>
      </c>
      <c r="H126" s="32">
        <f t="shared" ref="H126:H149" si="149">L126</f>
        <v>59</v>
      </c>
      <c r="I126" s="33">
        <f>$D126*H126</f>
        <v>12685</v>
      </c>
      <c r="J126" s="32">
        <v>54</v>
      </c>
      <c r="K126" s="33">
        <f>$D126*J126</f>
        <v>11610</v>
      </c>
      <c r="L126" s="32">
        <v>59</v>
      </c>
      <c r="M126" s="33">
        <f>$D126*L126</f>
        <v>12685</v>
      </c>
      <c r="N126" s="32">
        <v>59.95</v>
      </c>
      <c r="O126" s="33">
        <f t="shared" ref="O126" si="150">$D126*N126</f>
        <v>12889.25</v>
      </c>
      <c r="P126" s="32">
        <v>54.1</v>
      </c>
      <c r="Q126" s="33">
        <f t="shared" ref="Q126" si="151">$D126*P126</f>
        <v>11631.5</v>
      </c>
      <c r="R126" s="32">
        <v>59.9</v>
      </c>
      <c r="S126" s="33">
        <f t="shared" ref="S126" si="152">$D126*R126</f>
        <v>12878.5</v>
      </c>
      <c r="T126" s="32"/>
      <c r="U126" s="33">
        <f>$D126*T126</f>
        <v>0</v>
      </c>
    </row>
    <row r="127" spans="1:21" ht="14.4" customHeight="1" x14ac:dyDescent="0.25">
      <c r="A127" s="31" t="s">
        <v>128</v>
      </c>
      <c r="B127" s="31" t="s">
        <v>220</v>
      </c>
      <c r="C127" s="31" t="s">
        <v>225</v>
      </c>
      <c r="D127" s="59">
        <v>10</v>
      </c>
      <c r="E127" s="60" t="s">
        <v>279</v>
      </c>
      <c r="F127" s="32">
        <f t="shared" si="148"/>
        <v>65</v>
      </c>
      <c r="G127" s="33" t="s">
        <v>288</v>
      </c>
      <c r="H127" s="32">
        <f t="shared" si="149"/>
        <v>66</v>
      </c>
      <c r="I127" s="33" t="s">
        <v>288</v>
      </c>
      <c r="J127" s="32">
        <v>65</v>
      </c>
      <c r="K127" s="33" t="s">
        <v>288</v>
      </c>
      <c r="L127" s="32">
        <v>66</v>
      </c>
      <c r="M127" s="33" t="s">
        <v>288</v>
      </c>
      <c r="N127" s="32">
        <v>85.5</v>
      </c>
      <c r="O127" s="33" t="s">
        <v>288</v>
      </c>
      <c r="P127" s="32">
        <v>77.5</v>
      </c>
      <c r="Q127" s="33" t="s">
        <v>288</v>
      </c>
      <c r="R127" s="32">
        <v>77.8</v>
      </c>
      <c r="S127" s="33" t="s">
        <v>288</v>
      </c>
      <c r="T127" s="32"/>
      <c r="U127" s="37" t="s">
        <v>288</v>
      </c>
    </row>
    <row r="128" spans="1:21" ht="14.4" customHeight="1" x14ac:dyDescent="0.25">
      <c r="A128" s="31" t="s">
        <v>129</v>
      </c>
      <c r="B128" s="31" t="s">
        <v>220</v>
      </c>
      <c r="C128" s="31" t="s">
        <v>226</v>
      </c>
      <c r="D128" s="59">
        <v>10</v>
      </c>
      <c r="E128" s="60" t="s">
        <v>279</v>
      </c>
      <c r="F128" s="32">
        <f t="shared" si="148"/>
        <v>65</v>
      </c>
      <c r="G128" s="33" t="s">
        <v>288</v>
      </c>
      <c r="H128" s="32">
        <f t="shared" si="149"/>
        <v>69</v>
      </c>
      <c r="I128" s="33" t="s">
        <v>288</v>
      </c>
      <c r="J128" s="32">
        <v>65</v>
      </c>
      <c r="K128" s="33" t="s">
        <v>288</v>
      </c>
      <c r="L128" s="32">
        <v>69</v>
      </c>
      <c r="M128" s="33" t="s">
        <v>288</v>
      </c>
      <c r="N128" s="32">
        <v>95</v>
      </c>
      <c r="O128" s="33" t="s">
        <v>288</v>
      </c>
      <c r="P128" s="32">
        <v>79.900000000000006</v>
      </c>
      <c r="Q128" s="33" t="s">
        <v>288</v>
      </c>
      <c r="R128" s="32">
        <v>97.2</v>
      </c>
      <c r="S128" s="33" t="s">
        <v>288</v>
      </c>
      <c r="T128" s="32"/>
      <c r="U128" s="37" t="s">
        <v>288</v>
      </c>
    </row>
    <row r="129" spans="1:21" ht="14.4" customHeight="1" x14ac:dyDescent="0.25">
      <c r="A129" s="31" t="s">
        <v>130</v>
      </c>
      <c r="B129" s="31" t="s">
        <v>220</v>
      </c>
      <c r="C129" s="31" t="s">
        <v>227</v>
      </c>
      <c r="D129" s="59">
        <v>10</v>
      </c>
      <c r="E129" s="60" t="s">
        <v>279</v>
      </c>
      <c r="F129" s="32">
        <f t="shared" si="148"/>
        <v>6.95</v>
      </c>
      <c r="G129" s="33" t="s">
        <v>288</v>
      </c>
      <c r="H129" s="32">
        <f t="shared" si="149"/>
        <v>19.75</v>
      </c>
      <c r="I129" s="33" t="s">
        <v>288</v>
      </c>
      <c r="J129" s="32">
        <v>6.95</v>
      </c>
      <c r="K129" s="33" t="s">
        <v>288</v>
      </c>
      <c r="L129" s="32">
        <v>19.75</v>
      </c>
      <c r="M129" s="33" t="s">
        <v>288</v>
      </c>
      <c r="N129" s="32">
        <v>5</v>
      </c>
      <c r="O129" s="33" t="s">
        <v>288</v>
      </c>
      <c r="P129" s="32">
        <v>18</v>
      </c>
      <c r="Q129" s="33" t="s">
        <v>288</v>
      </c>
      <c r="R129" s="32">
        <v>112.9</v>
      </c>
      <c r="S129" s="33" t="s">
        <v>288</v>
      </c>
      <c r="T129" s="32"/>
      <c r="U129" s="37" t="s">
        <v>288</v>
      </c>
    </row>
    <row r="130" spans="1:21" ht="14.4" customHeight="1" x14ac:dyDescent="0.25">
      <c r="A130" s="31" t="s">
        <v>131</v>
      </c>
      <c r="B130" s="31" t="s">
        <v>220</v>
      </c>
      <c r="C130" s="31" t="s">
        <v>228</v>
      </c>
      <c r="D130" s="59">
        <v>1</v>
      </c>
      <c r="E130" s="60" t="s">
        <v>280</v>
      </c>
      <c r="F130" s="32">
        <f t="shared" si="148"/>
        <v>2</v>
      </c>
      <c r="G130" s="33" t="s">
        <v>288</v>
      </c>
      <c r="H130" s="32">
        <f t="shared" si="149"/>
        <v>29</v>
      </c>
      <c r="I130" s="33" t="s">
        <v>288</v>
      </c>
      <c r="J130" s="32">
        <v>2</v>
      </c>
      <c r="K130" s="33" t="s">
        <v>288</v>
      </c>
      <c r="L130" s="32">
        <v>29</v>
      </c>
      <c r="M130" s="33" t="s">
        <v>288</v>
      </c>
      <c r="N130" s="32">
        <v>12.5</v>
      </c>
      <c r="O130" s="33" t="s">
        <v>288</v>
      </c>
      <c r="P130" s="32">
        <v>46.2</v>
      </c>
      <c r="Q130" s="33" t="s">
        <v>288</v>
      </c>
      <c r="R130" s="32">
        <v>102.7</v>
      </c>
      <c r="S130" s="33" t="s">
        <v>288</v>
      </c>
      <c r="T130" s="32"/>
      <c r="U130" s="37" t="s">
        <v>288</v>
      </c>
    </row>
    <row r="131" spans="1:21" ht="14.4" customHeight="1" x14ac:dyDescent="0.25">
      <c r="A131" s="31" t="s">
        <v>132</v>
      </c>
      <c r="B131" s="31" t="s">
        <v>220</v>
      </c>
      <c r="C131" s="31" t="s">
        <v>229</v>
      </c>
      <c r="D131" s="59">
        <v>10</v>
      </c>
      <c r="E131" s="60" t="s">
        <v>280</v>
      </c>
      <c r="F131" s="32">
        <f t="shared" si="148"/>
        <v>7.5</v>
      </c>
      <c r="G131" s="33" t="s">
        <v>288</v>
      </c>
      <c r="H131" s="32">
        <f t="shared" si="149"/>
        <v>5.95</v>
      </c>
      <c r="I131" s="33" t="s">
        <v>288</v>
      </c>
      <c r="J131" s="32">
        <v>7.5</v>
      </c>
      <c r="K131" s="33" t="s">
        <v>288</v>
      </c>
      <c r="L131" s="32">
        <v>5.95</v>
      </c>
      <c r="M131" s="33" t="s">
        <v>288</v>
      </c>
      <c r="N131" s="32">
        <v>28.2</v>
      </c>
      <c r="O131" s="33" t="s">
        <v>288</v>
      </c>
      <c r="P131" s="32">
        <v>11.5</v>
      </c>
      <c r="Q131" s="33" t="s">
        <v>288</v>
      </c>
      <c r="R131" s="32">
        <v>29.3</v>
      </c>
      <c r="S131" s="33" t="s">
        <v>288</v>
      </c>
      <c r="T131" s="32"/>
      <c r="U131" s="37" t="s">
        <v>288</v>
      </c>
    </row>
    <row r="132" spans="1:21" ht="14.4" customHeight="1" x14ac:dyDescent="0.25">
      <c r="A132" s="31" t="s">
        <v>133</v>
      </c>
      <c r="B132" s="31" t="s">
        <v>220</v>
      </c>
      <c r="C132" s="31" t="s">
        <v>230</v>
      </c>
      <c r="D132" s="59">
        <v>1</v>
      </c>
      <c r="E132" s="60" t="s">
        <v>280</v>
      </c>
      <c r="F132" s="32">
        <f t="shared" si="148"/>
        <v>22</v>
      </c>
      <c r="G132" s="33" t="s">
        <v>288</v>
      </c>
      <c r="H132" s="32">
        <f t="shared" si="149"/>
        <v>19.7</v>
      </c>
      <c r="I132" s="33" t="s">
        <v>288</v>
      </c>
      <c r="J132" s="32">
        <v>22</v>
      </c>
      <c r="K132" s="33" t="s">
        <v>288</v>
      </c>
      <c r="L132" s="32">
        <v>19.7</v>
      </c>
      <c r="M132" s="33" t="s">
        <v>288</v>
      </c>
      <c r="N132" s="32">
        <v>14.5</v>
      </c>
      <c r="O132" s="33" t="s">
        <v>288</v>
      </c>
      <c r="P132" s="32">
        <v>18.5</v>
      </c>
      <c r="Q132" s="33" t="s">
        <v>288</v>
      </c>
      <c r="R132" s="32">
        <v>25.5</v>
      </c>
      <c r="S132" s="33" t="s">
        <v>288</v>
      </c>
      <c r="T132" s="32"/>
      <c r="U132" s="37" t="s">
        <v>288</v>
      </c>
    </row>
    <row r="133" spans="1:21" ht="14.4" customHeight="1" x14ac:dyDescent="0.25">
      <c r="A133" s="31" t="s">
        <v>134</v>
      </c>
      <c r="B133" s="31" t="s">
        <v>220</v>
      </c>
      <c r="C133" s="31" t="s">
        <v>231</v>
      </c>
      <c r="D133" s="59">
        <v>1</v>
      </c>
      <c r="E133" s="60" t="s">
        <v>280</v>
      </c>
      <c r="F133" s="32">
        <f t="shared" si="148"/>
        <v>6</v>
      </c>
      <c r="G133" s="33" t="s">
        <v>288</v>
      </c>
      <c r="H133" s="32">
        <f t="shared" si="149"/>
        <v>4.5</v>
      </c>
      <c r="I133" s="33" t="s">
        <v>288</v>
      </c>
      <c r="J133" s="32">
        <v>6</v>
      </c>
      <c r="K133" s="33" t="s">
        <v>288</v>
      </c>
      <c r="L133" s="32">
        <v>4.5</v>
      </c>
      <c r="M133" s="33" t="s">
        <v>288</v>
      </c>
      <c r="N133" s="32">
        <v>4</v>
      </c>
      <c r="O133" s="33" t="s">
        <v>288</v>
      </c>
      <c r="P133" s="32">
        <v>143</v>
      </c>
      <c r="Q133" s="33" t="s">
        <v>288</v>
      </c>
      <c r="R133" s="32">
        <v>10.7</v>
      </c>
      <c r="S133" s="33" t="s">
        <v>288</v>
      </c>
      <c r="T133" s="32"/>
      <c r="U133" s="37" t="s">
        <v>288</v>
      </c>
    </row>
    <row r="134" spans="1:21" ht="14.4" customHeight="1" x14ac:dyDescent="0.25">
      <c r="A134" s="31" t="s">
        <v>135</v>
      </c>
      <c r="B134" s="31" t="s">
        <v>220</v>
      </c>
      <c r="C134" s="31" t="s">
        <v>232</v>
      </c>
      <c r="D134" s="59">
        <v>1</v>
      </c>
      <c r="E134" s="60" t="s">
        <v>280</v>
      </c>
      <c r="F134" s="32">
        <f t="shared" si="148"/>
        <v>15</v>
      </c>
      <c r="G134" s="33" t="s">
        <v>288</v>
      </c>
      <c r="H134" s="32">
        <f t="shared" si="149"/>
        <v>4.5</v>
      </c>
      <c r="I134" s="33" t="s">
        <v>288</v>
      </c>
      <c r="J134" s="32">
        <v>15</v>
      </c>
      <c r="K134" s="33" t="s">
        <v>288</v>
      </c>
      <c r="L134" s="32">
        <v>4.5</v>
      </c>
      <c r="M134" s="33" t="s">
        <v>288</v>
      </c>
      <c r="N134" s="32">
        <v>5.2</v>
      </c>
      <c r="O134" s="33" t="s">
        <v>288</v>
      </c>
      <c r="P134" s="32">
        <v>27.2</v>
      </c>
      <c r="Q134" s="33" t="s">
        <v>288</v>
      </c>
      <c r="R134" s="32">
        <v>62.1</v>
      </c>
      <c r="S134" s="33" t="s">
        <v>288</v>
      </c>
      <c r="T134" s="32"/>
      <c r="U134" s="37" t="s">
        <v>288</v>
      </c>
    </row>
    <row r="135" spans="1:21" ht="14.4" customHeight="1" x14ac:dyDescent="0.25">
      <c r="A135" s="31" t="s">
        <v>136</v>
      </c>
      <c r="B135" s="31"/>
      <c r="C135" s="31" t="s">
        <v>233</v>
      </c>
      <c r="D135" s="59">
        <v>10</v>
      </c>
      <c r="E135" s="60" t="s">
        <v>281</v>
      </c>
      <c r="F135" s="32">
        <f t="shared" si="148"/>
        <v>73</v>
      </c>
      <c r="G135" s="33">
        <f t="shared" si="109"/>
        <v>730</v>
      </c>
      <c r="H135" s="32">
        <f t="shared" si="149"/>
        <v>275</v>
      </c>
      <c r="I135" s="33">
        <f>$D135*H135</f>
        <v>2750</v>
      </c>
      <c r="J135" s="32">
        <v>73</v>
      </c>
      <c r="K135" s="33">
        <f>$D135*J135</f>
        <v>730</v>
      </c>
      <c r="L135" s="32">
        <v>275</v>
      </c>
      <c r="M135" s="33">
        <f>$D135*L135</f>
        <v>2750</v>
      </c>
      <c r="N135" s="32">
        <v>272.10000000000002</v>
      </c>
      <c r="O135" s="33">
        <f t="shared" ref="O135" si="153">$D135*N135</f>
        <v>2721</v>
      </c>
      <c r="P135" s="32">
        <v>420</v>
      </c>
      <c r="Q135" s="33">
        <f t="shared" ref="Q135:Q137" si="154">$D135*P135</f>
        <v>4200</v>
      </c>
      <c r="R135" s="32">
        <v>392.7</v>
      </c>
      <c r="S135" s="33">
        <f t="shared" ref="S135" si="155">$D135*R135</f>
        <v>3927</v>
      </c>
      <c r="T135" s="32"/>
      <c r="U135" s="33">
        <f>$D135*T135</f>
        <v>0</v>
      </c>
    </row>
    <row r="136" spans="1:21" ht="14.4" customHeight="1" x14ac:dyDescent="0.25">
      <c r="A136" s="31" t="s">
        <v>137</v>
      </c>
      <c r="B136" s="31"/>
      <c r="C136" s="31" t="s">
        <v>234</v>
      </c>
      <c r="D136" s="59">
        <v>2</v>
      </c>
      <c r="E136" s="60" t="s">
        <v>281</v>
      </c>
      <c r="F136" s="32">
        <f t="shared" si="148"/>
        <v>62</v>
      </c>
      <c r="G136" s="33">
        <f t="shared" si="109"/>
        <v>124</v>
      </c>
      <c r="H136" s="32">
        <f t="shared" si="149"/>
        <v>79</v>
      </c>
      <c r="I136" s="33">
        <f>$D136*H136</f>
        <v>158</v>
      </c>
      <c r="J136" s="32">
        <v>62</v>
      </c>
      <c r="K136" s="33">
        <f>$D136*J136</f>
        <v>124</v>
      </c>
      <c r="L136" s="32">
        <v>79</v>
      </c>
      <c r="M136" s="33">
        <f>$D136*L136</f>
        <v>158</v>
      </c>
      <c r="N136" s="32">
        <v>65</v>
      </c>
      <c r="O136" s="33">
        <f t="shared" ref="O136" si="156">$D136*N136</f>
        <v>130</v>
      </c>
      <c r="P136" s="32">
        <v>102</v>
      </c>
      <c r="Q136" s="33">
        <f t="shared" si="154"/>
        <v>204</v>
      </c>
      <c r="R136" s="32">
        <v>79.8</v>
      </c>
      <c r="S136" s="33">
        <f t="shared" ref="S136" si="157">$D136*R136</f>
        <v>159.6</v>
      </c>
      <c r="T136" s="32"/>
      <c r="U136" s="33">
        <f>$D136*T136</f>
        <v>0</v>
      </c>
    </row>
    <row r="137" spans="1:21" ht="14.4" customHeight="1" x14ac:dyDescent="0.25">
      <c r="A137" s="31" t="s">
        <v>138</v>
      </c>
      <c r="B137" s="31"/>
      <c r="C137" s="31" t="s">
        <v>235</v>
      </c>
      <c r="D137" s="59">
        <v>5</v>
      </c>
      <c r="E137" s="60" t="s">
        <v>281</v>
      </c>
      <c r="F137" s="32">
        <f t="shared" si="148"/>
        <v>65</v>
      </c>
      <c r="G137" s="33">
        <f t="shared" si="109"/>
        <v>325</v>
      </c>
      <c r="H137" s="32">
        <f t="shared" si="149"/>
        <v>84</v>
      </c>
      <c r="I137" s="33">
        <f>$D137*H137</f>
        <v>420</v>
      </c>
      <c r="J137" s="32">
        <v>65</v>
      </c>
      <c r="K137" s="33">
        <f>$D137*J137</f>
        <v>325</v>
      </c>
      <c r="L137" s="32">
        <v>84</v>
      </c>
      <c r="M137" s="33">
        <f>$D137*L137</f>
        <v>420</v>
      </c>
      <c r="N137" s="32">
        <v>65</v>
      </c>
      <c r="O137" s="33">
        <f t="shared" ref="O137" si="158">$D137*N137</f>
        <v>325</v>
      </c>
      <c r="P137" s="32">
        <v>125</v>
      </c>
      <c r="Q137" s="33">
        <f t="shared" si="154"/>
        <v>625</v>
      </c>
      <c r="R137" s="32">
        <v>126.6</v>
      </c>
      <c r="S137" s="33">
        <f t="shared" ref="S137" si="159">$D137*R137</f>
        <v>633</v>
      </c>
      <c r="T137" s="32"/>
      <c r="U137" s="33">
        <f>$D137*T137</f>
        <v>0</v>
      </c>
    </row>
    <row r="138" spans="1:21" ht="14.4" customHeight="1" x14ac:dyDescent="0.25">
      <c r="A138" s="31" t="s">
        <v>139</v>
      </c>
      <c r="B138" s="31" t="s">
        <v>220</v>
      </c>
      <c r="C138" s="31" t="s">
        <v>236</v>
      </c>
      <c r="D138" s="59">
        <v>1</v>
      </c>
      <c r="E138" s="60" t="s">
        <v>281</v>
      </c>
      <c r="F138" s="32">
        <f t="shared" si="148"/>
        <v>75</v>
      </c>
      <c r="G138" s="33" t="s">
        <v>288</v>
      </c>
      <c r="H138" s="32">
        <f t="shared" si="149"/>
        <v>120</v>
      </c>
      <c r="I138" s="33" t="s">
        <v>288</v>
      </c>
      <c r="J138" s="32">
        <v>75</v>
      </c>
      <c r="K138" s="33" t="s">
        <v>288</v>
      </c>
      <c r="L138" s="32">
        <v>120</v>
      </c>
      <c r="M138" s="33" t="s">
        <v>288</v>
      </c>
      <c r="N138" s="32">
        <v>90</v>
      </c>
      <c r="O138" s="33" t="s">
        <v>288</v>
      </c>
      <c r="P138" s="32">
        <v>210</v>
      </c>
      <c r="Q138" s="33" t="s">
        <v>288</v>
      </c>
      <c r="R138" s="32">
        <v>142.80000000000001</v>
      </c>
      <c r="S138" s="33" t="s">
        <v>288</v>
      </c>
      <c r="T138" s="32"/>
      <c r="U138" s="37" t="s">
        <v>288</v>
      </c>
    </row>
    <row r="139" spans="1:21" ht="14.4" customHeight="1" x14ac:dyDescent="0.25">
      <c r="A139" s="31" t="s">
        <v>140</v>
      </c>
      <c r="B139" s="31"/>
      <c r="C139" s="31" t="s">
        <v>237</v>
      </c>
      <c r="D139" s="59">
        <v>7</v>
      </c>
      <c r="E139" s="60" t="s">
        <v>281</v>
      </c>
      <c r="F139" s="32">
        <f t="shared" si="148"/>
        <v>250</v>
      </c>
      <c r="G139" s="33">
        <f t="shared" si="109"/>
        <v>1750</v>
      </c>
      <c r="H139" s="32">
        <f t="shared" si="149"/>
        <v>117</v>
      </c>
      <c r="I139" s="33">
        <f>$D139*H139</f>
        <v>819</v>
      </c>
      <c r="J139" s="32">
        <v>250</v>
      </c>
      <c r="K139" s="33">
        <f>$D139*J139</f>
        <v>1750</v>
      </c>
      <c r="L139" s="32">
        <v>117</v>
      </c>
      <c r="M139" s="33">
        <f>$D139*L139</f>
        <v>819</v>
      </c>
      <c r="N139" s="32">
        <v>295</v>
      </c>
      <c r="O139" s="33">
        <f t="shared" ref="O139" si="160">$D139*N139</f>
        <v>2065</v>
      </c>
      <c r="P139" s="32">
        <v>502</v>
      </c>
      <c r="Q139" s="33">
        <f t="shared" ref="Q139:Q140" si="161">$D139*P139</f>
        <v>3514</v>
      </c>
      <c r="R139" s="32">
        <v>230.3</v>
      </c>
      <c r="S139" s="33">
        <f t="shared" ref="S139" si="162">$D139*R139</f>
        <v>1612.1000000000001</v>
      </c>
      <c r="T139" s="32"/>
      <c r="U139" s="33">
        <f>$D139*T139</f>
        <v>0</v>
      </c>
    </row>
    <row r="140" spans="1:21" ht="14.4" customHeight="1" x14ac:dyDescent="0.25">
      <c r="A140" s="31" t="s">
        <v>141</v>
      </c>
      <c r="B140" s="31"/>
      <c r="C140" s="31" t="s">
        <v>238</v>
      </c>
      <c r="D140" s="59">
        <v>2</v>
      </c>
      <c r="E140" s="60" t="s">
        <v>280</v>
      </c>
      <c r="F140" s="32">
        <f t="shared" si="148"/>
        <v>20</v>
      </c>
      <c r="G140" s="33">
        <f t="shared" si="109"/>
        <v>40</v>
      </c>
      <c r="H140" s="32">
        <f t="shared" si="149"/>
        <v>20</v>
      </c>
      <c r="I140" s="33">
        <f>$D140*H140</f>
        <v>40</v>
      </c>
      <c r="J140" s="32">
        <v>20</v>
      </c>
      <c r="K140" s="33">
        <f>$D140*J140</f>
        <v>40</v>
      </c>
      <c r="L140" s="32">
        <v>20</v>
      </c>
      <c r="M140" s="33">
        <f>$D140*L140</f>
        <v>40</v>
      </c>
      <c r="N140" s="32">
        <v>28.9</v>
      </c>
      <c r="O140" s="33">
        <f t="shared" ref="O140" si="163">$D140*N140</f>
        <v>57.8</v>
      </c>
      <c r="P140" s="32">
        <v>38.5</v>
      </c>
      <c r="Q140" s="33">
        <f t="shared" si="161"/>
        <v>77</v>
      </c>
      <c r="R140" s="32">
        <v>31.9</v>
      </c>
      <c r="S140" s="33">
        <f t="shared" ref="S140" si="164">$D140*R140</f>
        <v>63.8</v>
      </c>
      <c r="T140" s="32"/>
      <c r="U140" s="33">
        <f>$D140*T140</f>
        <v>0</v>
      </c>
    </row>
    <row r="141" spans="1:21" ht="14.4" customHeight="1" x14ac:dyDescent="0.25">
      <c r="A141" s="31" t="s">
        <v>142</v>
      </c>
      <c r="B141" s="31" t="s">
        <v>220</v>
      </c>
      <c r="C141" s="31" t="s">
        <v>239</v>
      </c>
      <c r="D141" s="59">
        <v>1</v>
      </c>
      <c r="E141" s="60" t="s">
        <v>281</v>
      </c>
      <c r="F141" s="32">
        <f t="shared" si="148"/>
        <v>10</v>
      </c>
      <c r="G141" s="33" t="s">
        <v>288</v>
      </c>
      <c r="H141" s="32">
        <f t="shared" si="149"/>
        <v>7</v>
      </c>
      <c r="I141" s="33" t="s">
        <v>288</v>
      </c>
      <c r="J141" s="32">
        <v>10</v>
      </c>
      <c r="K141" s="33" t="s">
        <v>288</v>
      </c>
      <c r="L141" s="32">
        <v>7</v>
      </c>
      <c r="M141" s="33" t="s">
        <v>288</v>
      </c>
      <c r="N141" s="32">
        <v>10</v>
      </c>
      <c r="O141" s="33" t="s">
        <v>288</v>
      </c>
      <c r="P141" s="32">
        <v>12</v>
      </c>
      <c r="Q141" s="33" t="s">
        <v>288</v>
      </c>
      <c r="R141" s="32">
        <v>7.8</v>
      </c>
      <c r="S141" s="33" t="s">
        <v>288</v>
      </c>
      <c r="T141" s="32"/>
      <c r="U141" s="37" t="s">
        <v>288</v>
      </c>
    </row>
    <row r="142" spans="1:21" ht="14.4" customHeight="1" x14ac:dyDescent="0.25">
      <c r="A142" s="31" t="s">
        <v>143</v>
      </c>
      <c r="B142" s="31" t="s">
        <v>220</v>
      </c>
      <c r="C142" s="31" t="s">
        <v>240</v>
      </c>
      <c r="D142" s="59">
        <v>1</v>
      </c>
      <c r="E142" s="60" t="s">
        <v>281</v>
      </c>
      <c r="F142" s="32">
        <f t="shared" si="148"/>
        <v>15</v>
      </c>
      <c r="G142" s="33" t="s">
        <v>288</v>
      </c>
      <c r="H142" s="32">
        <f t="shared" si="149"/>
        <v>9</v>
      </c>
      <c r="I142" s="33" t="s">
        <v>288</v>
      </c>
      <c r="J142" s="32">
        <v>15</v>
      </c>
      <c r="K142" s="33" t="s">
        <v>288</v>
      </c>
      <c r="L142" s="32">
        <v>9</v>
      </c>
      <c r="M142" s="33" t="s">
        <v>288</v>
      </c>
      <c r="N142" s="32">
        <v>25</v>
      </c>
      <c r="O142" s="33" t="s">
        <v>288</v>
      </c>
      <c r="P142" s="32">
        <v>20</v>
      </c>
      <c r="Q142" s="33" t="s">
        <v>288</v>
      </c>
      <c r="R142" s="32">
        <v>9</v>
      </c>
      <c r="S142" s="33" t="s">
        <v>288</v>
      </c>
      <c r="T142" s="32"/>
      <c r="U142" s="37" t="s">
        <v>288</v>
      </c>
    </row>
    <row r="143" spans="1:21" ht="14.4" customHeight="1" x14ac:dyDescent="0.25">
      <c r="A143" s="31" t="s">
        <v>144</v>
      </c>
      <c r="B143" s="31" t="s">
        <v>220</v>
      </c>
      <c r="C143" s="31" t="s">
        <v>241</v>
      </c>
      <c r="D143" s="59">
        <v>1</v>
      </c>
      <c r="E143" s="60" t="s">
        <v>281</v>
      </c>
      <c r="F143" s="32">
        <f t="shared" si="148"/>
        <v>10</v>
      </c>
      <c r="G143" s="33" t="s">
        <v>288</v>
      </c>
      <c r="H143" s="32">
        <f t="shared" si="149"/>
        <v>15</v>
      </c>
      <c r="I143" s="33" t="s">
        <v>288</v>
      </c>
      <c r="J143" s="32">
        <v>10</v>
      </c>
      <c r="K143" s="33" t="s">
        <v>288</v>
      </c>
      <c r="L143" s="32">
        <v>15</v>
      </c>
      <c r="M143" s="33" t="s">
        <v>288</v>
      </c>
      <c r="N143" s="32">
        <v>10</v>
      </c>
      <c r="O143" s="33" t="s">
        <v>288</v>
      </c>
      <c r="P143" s="32">
        <v>25</v>
      </c>
      <c r="Q143" s="33" t="s">
        <v>288</v>
      </c>
      <c r="R143" s="32">
        <v>4.5999999999999996</v>
      </c>
      <c r="S143" s="33" t="s">
        <v>288</v>
      </c>
      <c r="T143" s="32"/>
      <c r="U143" s="37" t="s">
        <v>288</v>
      </c>
    </row>
    <row r="144" spans="1:21" ht="14.4" customHeight="1" x14ac:dyDescent="0.25">
      <c r="A144" s="31" t="s">
        <v>145</v>
      </c>
      <c r="B144" s="31" t="s">
        <v>220</v>
      </c>
      <c r="C144" s="31" t="s">
        <v>242</v>
      </c>
      <c r="D144" s="59">
        <v>1</v>
      </c>
      <c r="E144" s="60" t="s">
        <v>281</v>
      </c>
      <c r="F144" s="32">
        <f t="shared" si="148"/>
        <v>15</v>
      </c>
      <c r="G144" s="33" t="s">
        <v>288</v>
      </c>
      <c r="H144" s="32">
        <f t="shared" si="149"/>
        <v>17</v>
      </c>
      <c r="I144" s="33" t="s">
        <v>288</v>
      </c>
      <c r="J144" s="32">
        <v>15</v>
      </c>
      <c r="K144" s="33" t="s">
        <v>288</v>
      </c>
      <c r="L144" s="32">
        <v>17</v>
      </c>
      <c r="M144" s="33" t="s">
        <v>288</v>
      </c>
      <c r="N144" s="32">
        <v>25</v>
      </c>
      <c r="O144" s="33" t="s">
        <v>288</v>
      </c>
      <c r="P144" s="32">
        <v>35</v>
      </c>
      <c r="Q144" s="33" t="s">
        <v>288</v>
      </c>
      <c r="R144" s="32">
        <v>6.8</v>
      </c>
      <c r="S144" s="33" t="s">
        <v>288</v>
      </c>
      <c r="T144" s="32"/>
      <c r="U144" s="37" t="s">
        <v>288</v>
      </c>
    </row>
    <row r="145" spans="1:21" ht="14.4" customHeight="1" x14ac:dyDescent="0.25">
      <c r="A145" s="31" t="s">
        <v>146</v>
      </c>
      <c r="B145" s="31" t="s">
        <v>220</v>
      </c>
      <c r="C145" s="31" t="s">
        <v>243</v>
      </c>
      <c r="D145" s="59">
        <v>1</v>
      </c>
      <c r="E145" s="60" t="s">
        <v>281</v>
      </c>
      <c r="F145" s="32">
        <f t="shared" si="148"/>
        <v>20</v>
      </c>
      <c r="G145" s="33" t="s">
        <v>288</v>
      </c>
      <c r="H145" s="32">
        <f t="shared" si="149"/>
        <v>6</v>
      </c>
      <c r="I145" s="33" t="s">
        <v>288</v>
      </c>
      <c r="J145" s="32">
        <v>20</v>
      </c>
      <c r="K145" s="33" t="s">
        <v>288</v>
      </c>
      <c r="L145" s="32">
        <v>6</v>
      </c>
      <c r="M145" s="33" t="s">
        <v>288</v>
      </c>
      <c r="N145" s="32">
        <v>3.5</v>
      </c>
      <c r="O145" s="33" t="s">
        <v>288</v>
      </c>
      <c r="P145" s="32">
        <v>8</v>
      </c>
      <c r="Q145" s="33" t="s">
        <v>288</v>
      </c>
      <c r="R145" s="32">
        <v>3.7</v>
      </c>
      <c r="S145" s="33" t="s">
        <v>288</v>
      </c>
      <c r="T145" s="32"/>
      <c r="U145" s="37" t="s">
        <v>288</v>
      </c>
    </row>
    <row r="146" spans="1:21" ht="14.4" customHeight="1" x14ac:dyDescent="0.25">
      <c r="A146" s="31" t="s">
        <v>147</v>
      </c>
      <c r="B146" s="31" t="s">
        <v>220</v>
      </c>
      <c r="C146" s="31" t="s">
        <v>244</v>
      </c>
      <c r="D146" s="59">
        <v>1</v>
      </c>
      <c r="E146" s="60" t="s">
        <v>281</v>
      </c>
      <c r="F146" s="32">
        <f t="shared" si="148"/>
        <v>30</v>
      </c>
      <c r="G146" s="33" t="s">
        <v>288</v>
      </c>
      <c r="H146" s="32">
        <f t="shared" si="149"/>
        <v>7</v>
      </c>
      <c r="I146" s="33" t="s">
        <v>288</v>
      </c>
      <c r="J146" s="32">
        <v>30</v>
      </c>
      <c r="K146" s="33" t="s">
        <v>288</v>
      </c>
      <c r="L146" s="32">
        <v>7</v>
      </c>
      <c r="M146" s="33" t="s">
        <v>288</v>
      </c>
      <c r="N146" s="32">
        <v>10</v>
      </c>
      <c r="O146" s="33" t="s">
        <v>288</v>
      </c>
      <c r="P146" s="32">
        <v>18</v>
      </c>
      <c r="Q146" s="33" t="s">
        <v>288</v>
      </c>
      <c r="R146" s="32">
        <v>5.2</v>
      </c>
      <c r="S146" s="33" t="s">
        <v>288</v>
      </c>
      <c r="T146" s="32"/>
      <c r="U146" s="37" t="s">
        <v>288</v>
      </c>
    </row>
    <row r="147" spans="1:21" ht="14.4" customHeight="1" x14ac:dyDescent="0.25">
      <c r="A147" s="31" t="s">
        <v>148</v>
      </c>
      <c r="B147" s="31" t="s">
        <v>220</v>
      </c>
      <c r="C147" s="31" t="s">
        <v>245</v>
      </c>
      <c r="D147" s="59">
        <v>1</v>
      </c>
      <c r="E147" s="60" t="s">
        <v>281</v>
      </c>
      <c r="F147" s="32">
        <f t="shared" si="148"/>
        <v>20</v>
      </c>
      <c r="G147" s="33" t="s">
        <v>288</v>
      </c>
      <c r="H147" s="32">
        <f t="shared" si="149"/>
        <v>8</v>
      </c>
      <c r="I147" s="33" t="s">
        <v>288</v>
      </c>
      <c r="J147" s="32">
        <v>20</v>
      </c>
      <c r="K147" s="33" t="s">
        <v>288</v>
      </c>
      <c r="L147" s="32">
        <v>8</v>
      </c>
      <c r="M147" s="33" t="s">
        <v>288</v>
      </c>
      <c r="N147" s="32">
        <v>3.5</v>
      </c>
      <c r="O147" s="33" t="s">
        <v>288</v>
      </c>
      <c r="P147" s="32">
        <v>15</v>
      </c>
      <c r="Q147" s="33" t="s">
        <v>288</v>
      </c>
      <c r="R147" s="32">
        <v>3.7</v>
      </c>
      <c r="S147" s="33" t="s">
        <v>288</v>
      </c>
      <c r="T147" s="32"/>
      <c r="U147" s="37" t="s">
        <v>288</v>
      </c>
    </row>
    <row r="148" spans="1:21" ht="14.4" customHeight="1" x14ac:dyDescent="0.25">
      <c r="A148" s="31" t="s">
        <v>149</v>
      </c>
      <c r="B148" s="31" t="s">
        <v>220</v>
      </c>
      <c r="C148" s="31" t="s">
        <v>246</v>
      </c>
      <c r="D148" s="59">
        <v>1</v>
      </c>
      <c r="E148" s="60" t="s">
        <v>281</v>
      </c>
      <c r="F148" s="32">
        <f t="shared" si="148"/>
        <v>30</v>
      </c>
      <c r="G148" s="33" t="s">
        <v>288</v>
      </c>
      <c r="H148" s="32">
        <f t="shared" si="149"/>
        <v>8</v>
      </c>
      <c r="I148" s="33" t="s">
        <v>288</v>
      </c>
      <c r="J148" s="32">
        <v>30</v>
      </c>
      <c r="K148" s="33" t="s">
        <v>288</v>
      </c>
      <c r="L148" s="32">
        <v>8</v>
      </c>
      <c r="M148" s="33" t="s">
        <v>288</v>
      </c>
      <c r="N148" s="32">
        <v>10</v>
      </c>
      <c r="O148" s="33" t="s">
        <v>288</v>
      </c>
      <c r="P148" s="32">
        <v>18</v>
      </c>
      <c r="Q148" s="33" t="s">
        <v>288</v>
      </c>
      <c r="R148" s="32">
        <v>5.2</v>
      </c>
      <c r="S148" s="33" t="s">
        <v>288</v>
      </c>
      <c r="T148" s="32"/>
      <c r="U148" s="37" t="s">
        <v>288</v>
      </c>
    </row>
    <row r="149" spans="1:21" ht="14.4" customHeight="1" x14ac:dyDescent="0.25">
      <c r="A149" s="31" t="s">
        <v>150</v>
      </c>
      <c r="B149" s="31" t="s">
        <v>220</v>
      </c>
      <c r="C149" s="31" t="s">
        <v>247</v>
      </c>
      <c r="D149" s="59">
        <v>5</v>
      </c>
      <c r="E149" s="60" t="s">
        <v>281</v>
      </c>
      <c r="F149" s="32">
        <f t="shared" si="148"/>
        <v>65</v>
      </c>
      <c r="G149" s="33" t="s">
        <v>288</v>
      </c>
      <c r="H149" s="32">
        <f t="shared" si="149"/>
        <v>9</v>
      </c>
      <c r="I149" s="33" t="s">
        <v>288</v>
      </c>
      <c r="J149" s="32">
        <v>65</v>
      </c>
      <c r="K149" s="33" t="s">
        <v>288</v>
      </c>
      <c r="L149" s="32">
        <v>9</v>
      </c>
      <c r="M149" s="33" t="s">
        <v>288</v>
      </c>
      <c r="N149" s="32">
        <v>20</v>
      </c>
      <c r="O149" s="33" t="s">
        <v>288</v>
      </c>
      <c r="P149" s="32">
        <v>90</v>
      </c>
      <c r="Q149" s="33" t="s">
        <v>288</v>
      </c>
      <c r="R149" s="32">
        <v>68.5</v>
      </c>
      <c r="S149" s="33" t="s">
        <v>288</v>
      </c>
      <c r="T149" s="32"/>
      <c r="U149" s="37" t="s">
        <v>288</v>
      </c>
    </row>
    <row r="150" spans="1:21" ht="14.4" customHeight="1" x14ac:dyDescent="0.25">
      <c r="A150" s="38" t="s">
        <v>126</v>
      </c>
      <c r="B150" s="38"/>
      <c r="C150" s="38" t="s">
        <v>222</v>
      </c>
      <c r="D150" s="63"/>
      <c r="E150" s="64"/>
      <c r="F150" s="39"/>
      <c r="G150" s="40">
        <f>SUM(G126:G149)</f>
        <v>14579</v>
      </c>
      <c r="H150" s="39"/>
      <c r="I150" s="40">
        <f>SUM(I126:I149)</f>
        <v>16872</v>
      </c>
      <c r="J150" s="39"/>
      <c r="K150" s="40">
        <f>SUM(K126:K149)</f>
        <v>14579</v>
      </c>
      <c r="L150" s="39"/>
      <c r="M150" s="40">
        <f>SUM(M126:M149)</f>
        <v>16872</v>
      </c>
      <c r="N150" s="39"/>
      <c r="O150" s="40">
        <f>SUM(O126:O149)</f>
        <v>18188.05</v>
      </c>
      <c r="P150" s="39"/>
      <c r="Q150" s="40">
        <f>SUM(Q126:Q149)</f>
        <v>20251.5</v>
      </c>
      <c r="R150" s="39"/>
      <c r="S150" s="40">
        <f>SUM(S126:S149)</f>
        <v>19273.999999999996</v>
      </c>
      <c r="T150" s="39"/>
      <c r="U150" s="40">
        <f>SUM(U126:U149)</f>
        <v>0</v>
      </c>
    </row>
    <row r="151" spans="1:21" ht="14.4" customHeight="1" x14ac:dyDescent="0.25">
      <c r="A151" s="31"/>
      <c r="B151" s="31"/>
      <c r="C151" s="31"/>
      <c r="D151" s="59"/>
      <c r="E151" s="60"/>
      <c r="F151" s="32"/>
      <c r="G151" s="33"/>
      <c r="H151" s="32"/>
      <c r="I151" s="33"/>
      <c r="J151" s="32"/>
      <c r="K151" s="33"/>
      <c r="L151" s="32"/>
      <c r="M151" s="33"/>
      <c r="N151" s="32"/>
      <c r="O151" s="33"/>
      <c r="P151" s="32"/>
      <c r="Q151" s="33"/>
      <c r="R151" s="32"/>
      <c r="S151" s="33"/>
      <c r="T151" s="32"/>
      <c r="U151" s="33"/>
    </row>
    <row r="152" spans="1:21" ht="14.4" customHeight="1" x14ac:dyDescent="0.25">
      <c r="A152" s="31" t="s">
        <v>152</v>
      </c>
      <c r="B152" s="31"/>
      <c r="C152" s="31" t="s">
        <v>249</v>
      </c>
      <c r="D152" s="59">
        <v>1</v>
      </c>
      <c r="E152" s="60" t="s">
        <v>279</v>
      </c>
      <c r="F152" s="32">
        <f t="shared" ref="F152:F164" si="165">J152</f>
        <v>62</v>
      </c>
      <c r="G152" s="33">
        <f t="shared" si="109"/>
        <v>62</v>
      </c>
      <c r="H152" s="32">
        <f t="shared" ref="H152:H164" si="166">L152</f>
        <v>45</v>
      </c>
      <c r="I152" s="33">
        <f>$D152*H152</f>
        <v>45</v>
      </c>
      <c r="J152" s="32">
        <v>62</v>
      </c>
      <c r="K152" s="33">
        <f>$D152*J152</f>
        <v>62</v>
      </c>
      <c r="L152" s="32">
        <v>45</v>
      </c>
      <c r="M152" s="33">
        <f t="shared" ref="M152" si="167">$D152*L152</f>
        <v>45</v>
      </c>
      <c r="N152" s="32">
        <v>49.9</v>
      </c>
      <c r="O152" s="33">
        <f t="shared" ref="O152" si="168">$D152*N152</f>
        <v>49.9</v>
      </c>
      <c r="P152" s="32">
        <v>48</v>
      </c>
      <c r="Q152" s="33">
        <f t="shared" ref="Q152" si="169">$D152*P152</f>
        <v>48</v>
      </c>
      <c r="R152" s="32">
        <v>100.4</v>
      </c>
      <c r="S152" s="33">
        <f t="shared" ref="S152" si="170">$D152*R152</f>
        <v>100.4</v>
      </c>
      <c r="T152" s="32"/>
      <c r="U152" s="33">
        <f t="shared" ref="U152" si="171">$D152*T152</f>
        <v>0</v>
      </c>
    </row>
    <row r="153" spans="1:21" ht="14.4" customHeight="1" x14ac:dyDescent="0.25">
      <c r="A153" s="31" t="s">
        <v>153</v>
      </c>
      <c r="B153" s="31" t="s">
        <v>220</v>
      </c>
      <c r="C153" s="31" t="s">
        <v>250</v>
      </c>
      <c r="D153" s="59">
        <v>1</v>
      </c>
      <c r="E153" s="60" t="s">
        <v>279</v>
      </c>
      <c r="F153" s="32">
        <f t="shared" si="165"/>
        <v>12</v>
      </c>
      <c r="G153" s="33" t="s">
        <v>288</v>
      </c>
      <c r="H153" s="32">
        <f t="shared" si="166"/>
        <v>9.9</v>
      </c>
      <c r="I153" s="33" t="s">
        <v>288</v>
      </c>
      <c r="J153" s="32">
        <v>12</v>
      </c>
      <c r="K153" s="33" t="s">
        <v>288</v>
      </c>
      <c r="L153" s="32">
        <v>9.9</v>
      </c>
      <c r="M153" s="33" t="s">
        <v>288</v>
      </c>
      <c r="N153" s="32">
        <v>9</v>
      </c>
      <c r="O153" s="33" t="s">
        <v>288</v>
      </c>
      <c r="P153" s="32">
        <v>16</v>
      </c>
      <c r="Q153" s="33" t="s">
        <v>288</v>
      </c>
      <c r="R153" s="32">
        <v>15.7</v>
      </c>
      <c r="S153" s="33" t="s">
        <v>288</v>
      </c>
      <c r="T153" s="32"/>
      <c r="U153" s="37" t="s">
        <v>288</v>
      </c>
    </row>
    <row r="154" spans="1:21" ht="14.4" customHeight="1" x14ac:dyDescent="0.25">
      <c r="A154" s="31" t="s">
        <v>154</v>
      </c>
      <c r="B154" s="31" t="s">
        <v>220</v>
      </c>
      <c r="C154" s="31" t="s">
        <v>251</v>
      </c>
      <c r="D154" s="59">
        <v>1</v>
      </c>
      <c r="E154" s="60" t="s">
        <v>279</v>
      </c>
      <c r="F154" s="32">
        <f t="shared" si="165"/>
        <v>4</v>
      </c>
      <c r="G154" s="33" t="s">
        <v>288</v>
      </c>
      <c r="H154" s="32">
        <f t="shared" si="166"/>
        <v>2.9</v>
      </c>
      <c r="I154" s="33" t="s">
        <v>288</v>
      </c>
      <c r="J154" s="32">
        <v>4</v>
      </c>
      <c r="K154" s="33" t="s">
        <v>288</v>
      </c>
      <c r="L154" s="32">
        <v>2.9</v>
      </c>
      <c r="M154" s="33" t="s">
        <v>288</v>
      </c>
      <c r="N154" s="32">
        <v>2.2999999999999998</v>
      </c>
      <c r="O154" s="33" t="s">
        <v>288</v>
      </c>
      <c r="P154" s="32">
        <v>4.2</v>
      </c>
      <c r="Q154" s="33" t="s">
        <v>288</v>
      </c>
      <c r="R154" s="32">
        <v>3.1</v>
      </c>
      <c r="S154" s="33" t="s">
        <v>288</v>
      </c>
      <c r="T154" s="32"/>
      <c r="U154" s="37" t="s">
        <v>288</v>
      </c>
    </row>
    <row r="155" spans="1:21" ht="14.4" customHeight="1" x14ac:dyDescent="0.25">
      <c r="A155" s="31" t="s">
        <v>155</v>
      </c>
      <c r="B155" s="31" t="s">
        <v>220</v>
      </c>
      <c r="C155" s="31" t="s">
        <v>252</v>
      </c>
      <c r="D155" s="59">
        <v>1</v>
      </c>
      <c r="E155" s="60" t="s">
        <v>279</v>
      </c>
      <c r="F155" s="32">
        <f t="shared" si="165"/>
        <v>8</v>
      </c>
      <c r="G155" s="33" t="s">
        <v>288</v>
      </c>
      <c r="H155" s="32">
        <f t="shared" si="166"/>
        <v>5.8</v>
      </c>
      <c r="I155" s="33" t="s">
        <v>288</v>
      </c>
      <c r="J155" s="32">
        <v>8</v>
      </c>
      <c r="K155" s="33" t="s">
        <v>288</v>
      </c>
      <c r="L155" s="32">
        <v>5.8</v>
      </c>
      <c r="M155" s="33" t="s">
        <v>288</v>
      </c>
      <c r="N155" s="32">
        <v>4.5999999999999996</v>
      </c>
      <c r="O155" s="33" t="s">
        <v>288</v>
      </c>
      <c r="P155" s="32">
        <v>8.4</v>
      </c>
      <c r="Q155" s="33" t="s">
        <v>288</v>
      </c>
      <c r="R155" s="32">
        <v>6.2</v>
      </c>
      <c r="S155" s="33" t="s">
        <v>288</v>
      </c>
      <c r="T155" s="32"/>
      <c r="U155" s="37" t="s">
        <v>288</v>
      </c>
    </row>
    <row r="156" spans="1:21" ht="14.4" customHeight="1" x14ac:dyDescent="0.25">
      <c r="A156" s="31" t="s">
        <v>156</v>
      </c>
      <c r="B156" s="31" t="s">
        <v>220</v>
      </c>
      <c r="C156" s="31" t="s">
        <v>253</v>
      </c>
      <c r="D156" s="59">
        <v>1</v>
      </c>
      <c r="E156" s="60" t="s">
        <v>279</v>
      </c>
      <c r="F156" s="32">
        <f t="shared" si="165"/>
        <v>6.95</v>
      </c>
      <c r="G156" s="33" t="s">
        <v>288</v>
      </c>
      <c r="H156" s="32">
        <f t="shared" si="166"/>
        <v>3.9</v>
      </c>
      <c r="I156" s="33" t="s">
        <v>288</v>
      </c>
      <c r="J156" s="32">
        <v>6.95</v>
      </c>
      <c r="K156" s="33" t="s">
        <v>288</v>
      </c>
      <c r="L156" s="32">
        <v>3.9</v>
      </c>
      <c r="M156" s="33" t="s">
        <v>288</v>
      </c>
      <c r="N156" s="32">
        <v>5</v>
      </c>
      <c r="O156" s="33" t="s">
        <v>288</v>
      </c>
      <c r="P156" s="32">
        <v>8.8000000000000007</v>
      </c>
      <c r="Q156" s="33" t="s">
        <v>288</v>
      </c>
      <c r="R156" s="32">
        <v>7.4</v>
      </c>
      <c r="S156" s="33" t="s">
        <v>288</v>
      </c>
      <c r="T156" s="32"/>
      <c r="U156" s="37" t="s">
        <v>288</v>
      </c>
    </row>
    <row r="157" spans="1:21" ht="14.4" customHeight="1" x14ac:dyDescent="0.25">
      <c r="A157" s="31" t="s">
        <v>157</v>
      </c>
      <c r="B157" s="31"/>
      <c r="C157" s="31" t="s">
        <v>254</v>
      </c>
      <c r="D157" s="59">
        <v>20</v>
      </c>
      <c r="E157" s="60" t="s">
        <v>280</v>
      </c>
      <c r="F157" s="32">
        <f t="shared" si="165"/>
        <v>15</v>
      </c>
      <c r="G157" s="33">
        <f t="shared" ref="G157:G215" si="172">$D157*F157</f>
        <v>300</v>
      </c>
      <c r="H157" s="32">
        <f t="shared" si="166"/>
        <v>6.9</v>
      </c>
      <c r="I157" s="33">
        <f>$D157*H157</f>
        <v>138</v>
      </c>
      <c r="J157" s="32">
        <v>15</v>
      </c>
      <c r="K157" s="33">
        <f>$D157*J157</f>
        <v>300</v>
      </c>
      <c r="L157" s="32">
        <v>6.9</v>
      </c>
      <c r="M157" s="33">
        <f t="shared" ref="M157:M162" si="173">$D157*L157</f>
        <v>138</v>
      </c>
      <c r="N157" s="32">
        <v>10.5</v>
      </c>
      <c r="O157" s="33">
        <f t="shared" ref="O157" si="174">$D157*N157</f>
        <v>210</v>
      </c>
      <c r="P157" s="32">
        <v>6.9</v>
      </c>
      <c r="Q157" s="33">
        <f t="shared" ref="Q157:Q162" si="175">$D157*P157</f>
        <v>138</v>
      </c>
      <c r="R157" s="32">
        <v>11.8</v>
      </c>
      <c r="S157" s="33">
        <f t="shared" ref="S157" si="176">$D157*R157</f>
        <v>236</v>
      </c>
      <c r="T157" s="32"/>
      <c r="U157" s="33">
        <f t="shared" ref="U157" si="177">$D157*T157</f>
        <v>0</v>
      </c>
    </row>
    <row r="158" spans="1:21" ht="14.4" customHeight="1" x14ac:dyDescent="0.25">
      <c r="A158" s="31" t="s">
        <v>158</v>
      </c>
      <c r="B158" s="31"/>
      <c r="C158" s="31" t="s">
        <v>255</v>
      </c>
      <c r="D158" s="59">
        <v>20</v>
      </c>
      <c r="E158" s="60" t="s">
        <v>280</v>
      </c>
      <c r="F158" s="32">
        <f t="shared" si="165"/>
        <v>6.5</v>
      </c>
      <c r="G158" s="33">
        <f t="shared" si="172"/>
        <v>130</v>
      </c>
      <c r="H158" s="32">
        <f t="shared" si="166"/>
        <v>4.5</v>
      </c>
      <c r="I158" s="33">
        <f>$D158*H158</f>
        <v>90</v>
      </c>
      <c r="J158" s="32">
        <v>6.5</v>
      </c>
      <c r="K158" s="33">
        <f>$D158*J158</f>
        <v>130</v>
      </c>
      <c r="L158" s="32">
        <v>4.5</v>
      </c>
      <c r="M158" s="33">
        <f t="shared" si="173"/>
        <v>90</v>
      </c>
      <c r="N158" s="32">
        <v>4</v>
      </c>
      <c r="O158" s="33">
        <f t="shared" ref="O158" si="178">$D158*N158</f>
        <v>80</v>
      </c>
      <c r="P158" s="32">
        <v>6.5</v>
      </c>
      <c r="Q158" s="33">
        <f t="shared" si="175"/>
        <v>130</v>
      </c>
      <c r="R158" s="32">
        <v>8.1</v>
      </c>
      <c r="S158" s="33">
        <f t="shared" ref="S158" si="179">$D158*R158</f>
        <v>162</v>
      </c>
      <c r="T158" s="32"/>
      <c r="U158" s="33">
        <f t="shared" ref="U158" si="180">$D158*T158</f>
        <v>0</v>
      </c>
    </row>
    <row r="159" spans="1:21" ht="14.4" customHeight="1" x14ac:dyDescent="0.25">
      <c r="A159" s="31" t="s">
        <v>159</v>
      </c>
      <c r="B159" s="31"/>
      <c r="C159" s="31" t="s">
        <v>256</v>
      </c>
      <c r="D159" s="59">
        <v>10</v>
      </c>
      <c r="E159" s="60" t="s">
        <v>281</v>
      </c>
      <c r="F159" s="32">
        <f t="shared" si="165"/>
        <v>10</v>
      </c>
      <c r="G159" s="33">
        <f t="shared" si="172"/>
        <v>100</v>
      </c>
      <c r="H159" s="32">
        <f t="shared" si="166"/>
        <v>9.5</v>
      </c>
      <c r="I159" s="33">
        <f>$D159*H159</f>
        <v>95</v>
      </c>
      <c r="J159" s="32">
        <v>10</v>
      </c>
      <c r="K159" s="33">
        <f>$D159*J159</f>
        <v>100</v>
      </c>
      <c r="L159" s="32">
        <v>9.5</v>
      </c>
      <c r="M159" s="33">
        <f t="shared" si="173"/>
        <v>95</v>
      </c>
      <c r="N159" s="32">
        <v>25</v>
      </c>
      <c r="O159" s="33">
        <f t="shared" ref="O159" si="181">$D159*N159</f>
        <v>250</v>
      </c>
      <c r="P159" s="32">
        <v>25</v>
      </c>
      <c r="Q159" s="33">
        <f t="shared" si="175"/>
        <v>250</v>
      </c>
      <c r="R159" s="32">
        <v>13.7</v>
      </c>
      <c r="S159" s="33">
        <f t="shared" ref="S159" si="182">$D159*R159</f>
        <v>137</v>
      </c>
      <c r="T159" s="32"/>
      <c r="U159" s="33">
        <f t="shared" ref="U159" si="183">$D159*T159</f>
        <v>0</v>
      </c>
    </row>
    <row r="160" spans="1:21" ht="14.4" customHeight="1" x14ac:dyDescent="0.25">
      <c r="A160" s="31" t="s">
        <v>160</v>
      </c>
      <c r="B160" s="31"/>
      <c r="C160" s="31" t="s">
        <v>257</v>
      </c>
      <c r="D160" s="59">
        <v>10</v>
      </c>
      <c r="E160" s="60" t="s">
        <v>281</v>
      </c>
      <c r="F160" s="32">
        <f t="shared" si="165"/>
        <v>20</v>
      </c>
      <c r="G160" s="33">
        <f t="shared" si="172"/>
        <v>200</v>
      </c>
      <c r="H160" s="32">
        <f t="shared" si="166"/>
        <v>8</v>
      </c>
      <c r="I160" s="33">
        <f>$D160*H160</f>
        <v>80</v>
      </c>
      <c r="J160" s="32">
        <v>20</v>
      </c>
      <c r="K160" s="33">
        <f>$D160*J160</f>
        <v>200</v>
      </c>
      <c r="L160" s="32">
        <v>8</v>
      </c>
      <c r="M160" s="33">
        <f t="shared" si="173"/>
        <v>80</v>
      </c>
      <c r="N160" s="32">
        <v>25</v>
      </c>
      <c r="O160" s="33">
        <f t="shared" ref="O160" si="184">$D160*N160</f>
        <v>250</v>
      </c>
      <c r="P160" s="32">
        <v>15</v>
      </c>
      <c r="Q160" s="33">
        <f t="shared" si="175"/>
        <v>150</v>
      </c>
      <c r="R160" s="32">
        <v>13.7</v>
      </c>
      <c r="S160" s="33">
        <f t="shared" ref="S160" si="185">$D160*R160</f>
        <v>137</v>
      </c>
      <c r="T160" s="32"/>
      <c r="U160" s="33">
        <f t="shared" ref="U160" si="186">$D160*T160</f>
        <v>0</v>
      </c>
    </row>
    <row r="161" spans="1:21" ht="14.4" customHeight="1" x14ac:dyDescent="0.25">
      <c r="A161" s="31" t="s">
        <v>161</v>
      </c>
      <c r="B161" s="31"/>
      <c r="C161" s="31" t="s">
        <v>258</v>
      </c>
      <c r="D161" s="59">
        <v>5</v>
      </c>
      <c r="E161" s="60" t="s">
        <v>281</v>
      </c>
      <c r="F161" s="32">
        <f t="shared" si="165"/>
        <v>65</v>
      </c>
      <c r="G161" s="33">
        <f t="shared" si="172"/>
        <v>325</v>
      </c>
      <c r="H161" s="32">
        <f t="shared" si="166"/>
        <v>64</v>
      </c>
      <c r="I161" s="33">
        <f>$D161*H161</f>
        <v>320</v>
      </c>
      <c r="J161" s="32">
        <v>65</v>
      </c>
      <c r="K161" s="33">
        <f>$D161*J161</f>
        <v>325</v>
      </c>
      <c r="L161" s="32">
        <v>64</v>
      </c>
      <c r="M161" s="33">
        <f t="shared" si="173"/>
        <v>320</v>
      </c>
      <c r="N161" s="32">
        <v>88</v>
      </c>
      <c r="O161" s="33">
        <f t="shared" ref="O161" si="187">$D161*N161</f>
        <v>440</v>
      </c>
      <c r="P161" s="32">
        <v>55</v>
      </c>
      <c r="Q161" s="33">
        <f t="shared" si="175"/>
        <v>275</v>
      </c>
      <c r="R161" s="32">
        <v>69.099999999999994</v>
      </c>
      <c r="S161" s="33">
        <f t="shared" ref="S161" si="188">$D161*R161</f>
        <v>345.5</v>
      </c>
      <c r="T161" s="32"/>
      <c r="U161" s="33">
        <f t="shared" ref="U161" si="189">$D161*T161</f>
        <v>0</v>
      </c>
    </row>
    <row r="162" spans="1:21" ht="14.4" customHeight="1" x14ac:dyDescent="0.25">
      <c r="A162" s="31" t="s">
        <v>162</v>
      </c>
      <c r="B162" s="31"/>
      <c r="C162" s="31" t="s">
        <v>259</v>
      </c>
      <c r="D162" s="59">
        <v>5</v>
      </c>
      <c r="E162" s="60" t="s">
        <v>281</v>
      </c>
      <c r="F162" s="32">
        <f t="shared" si="165"/>
        <v>80</v>
      </c>
      <c r="G162" s="33">
        <f t="shared" si="172"/>
        <v>400</v>
      </c>
      <c r="H162" s="32">
        <f t="shared" si="166"/>
        <v>77</v>
      </c>
      <c r="I162" s="33">
        <f>$D162*H162</f>
        <v>385</v>
      </c>
      <c r="J162" s="32">
        <v>80</v>
      </c>
      <c r="K162" s="33">
        <f>$D162*J162</f>
        <v>400</v>
      </c>
      <c r="L162" s="32">
        <v>77</v>
      </c>
      <c r="M162" s="33">
        <f t="shared" si="173"/>
        <v>385</v>
      </c>
      <c r="N162" s="32">
        <v>125</v>
      </c>
      <c r="O162" s="33">
        <f t="shared" ref="O162" si="190">$D162*N162</f>
        <v>625</v>
      </c>
      <c r="P162" s="32">
        <v>65</v>
      </c>
      <c r="Q162" s="33">
        <f t="shared" si="175"/>
        <v>325</v>
      </c>
      <c r="R162" s="32">
        <v>91.9</v>
      </c>
      <c r="S162" s="33">
        <f t="shared" ref="S162" si="191">$D162*R162</f>
        <v>459.5</v>
      </c>
      <c r="T162" s="32"/>
      <c r="U162" s="33">
        <f t="shared" ref="U162" si="192">$D162*T162</f>
        <v>0</v>
      </c>
    </row>
    <row r="163" spans="1:21" ht="14.4" customHeight="1" x14ac:dyDescent="0.25">
      <c r="A163" s="31" t="s">
        <v>163</v>
      </c>
      <c r="B163" s="31" t="s">
        <v>220</v>
      </c>
      <c r="C163" s="31" t="s">
        <v>260</v>
      </c>
      <c r="D163" s="59">
        <v>1</v>
      </c>
      <c r="E163" s="60" t="s">
        <v>281</v>
      </c>
      <c r="F163" s="32">
        <f t="shared" si="165"/>
        <v>170</v>
      </c>
      <c r="G163" s="33" t="s">
        <v>288</v>
      </c>
      <c r="H163" s="32">
        <f t="shared" si="166"/>
        <v>190</v>
      </c>
      <c r="I163" s="33" t="s">
        <v>288</v>
      </c>
      <c r="J163" s="32">
        <v>170</v>
      </c>
      <c r="K163" s="33" t="s">
        <v>288</v>
      </c>
      <c r="L163" s="32">
        <v>190</v>
      </c>
      <c r="M163" s="33" t="s">
        <v>288</v>
      </c>
      <c r="N163" s="32">
        <v>239.95</v>
      </c>
      <c r="O163" s="33" t="s">
        <v>288</v>
      </c>
      <c r="P163" s="32">
        <v>280</v>
      </c>
      <c r="Q163" s="33" t="s">
        <v>288</v>
      </c>
      <c r="R163" s="32">
        <v>346.9</v>
      </c>
      <c r="S163" s="33" t="s">
        <v>288</v>
      </c>
      <c r="T163" s="32"/>
      <c r="U163" s="37" t="s">
        <v>288</v>
      </c>
    </row>
    <row r="164" spans="1:21" ht="14.4" customHeight="1" x14ac:dyDescent="0.25">
      <c r="A164" s="31" t="s">
        <v>164</v>
      </c>
      <c r="B164" s="31" t="s">
        <v>220</v>
      </c>
      <c r="C164" s="31" t="s">
        <v>261</v>
      </c>
      <c r="D164" s="59">
        <v>1</v>
      </c>
      <c r="E164" s="60" t="s">
        <v>281</v>
      </c>
      <c r="F164" s="32">
        <f t="shared" si="165"/>
        <v>200</v>
      </c>
      <c r="G164" s="33" t="s">
        <v>288</v>
      </c>
      <c r="H164" s="32">
        <f t="shared" si="166"/>
        <v>240</v>
      </c>
      <c r="I164" s="33" t="s">
        <v>288</v>
      </c>
      <c r="J164" s="32">
        <v>200</v>
      </c>
      <c r="K164" s="33" t="s">
        <v>288</v>
      </c>
      <c r="L164" s="32">
        <v>240</v>
      </c>
      <c r="M164" s="33" t="s">
        <v>288</v>
      </c>
      <c r="N164" s="32">
        <v>281.95</v>
      </c>
      <c r="O164" s="33" t="s">
        <v>288</v>
      </c>
      <c r="P164" s="32">
        <v>350</v>
      </c>
      <c r="Q164" s="33" t="s">
        <v>288</v>
      </c>
      <c r="R164" s="32">
        <v>391.4</v>
      </c>
      <c r="S164" s="33" t="s">
        <v>288</v>
      </c>
      <c r="T164" s="32"/>
      <c r="U164" s="37" t="s">
        <v>288</v>
      </c>
    </row>
    <row r="165" spans="1:21" ht="14.4" customHeight="1" x14ac:dyDescent="0.25">
      <c r="A165" s="38" t="s">
        <v>151</v>
      </c>
      <c r="B165" s="38"/>
      <c r="C165" s="38" t="s">
        <v>248</v>
      </c>
      <c r="D165" s="63"/>
      <c r="E165" s="64"/>
      <c r="F165" s="39"/>
      <c r="G165" s="40">
        <f>SUM(G152:G164)</f>
        <v>1517</v>
      </c>
      <c r="H165" s="39"/>
      <c r="I165" s="40">
        <f>SUM(I152:I164)</f>
        <v>1153</v>
      </c>
      <c r="J165" s="39"/>
      <c r="K165" s="40">
        <f>SUM(K152:K164)</f>
        <v>1517</v>
      </c>
      <c r="L165" s="39"/>
      <c r="M165" s="40">
        <f>SUM(M152:M164)</f>
        <v>1153</v>
      </c>
      <c r="N165" s="39"/>
      <c r="O165" s="40">
        <f>SUM(O152:O164)</f>
        <v>1904.9</v>
      </c>
      <c r="P165" s="39"/>
      <c r="Q165" s="40">
        <f>SUM(Q152:Q164)</f>
        <v>1316</v>
      </c>
      <c r="R165" s="39"/>
      <c r="S165" s="40">
        <f>SUM(S152:S164)</f>
        <v>1577.4</v>
      </c>
      <c r="T165" s="39"/>
      <c r="U165" s="40">
        <f>SUM(U152:U164)</f>
        <v>0</v>
      </c>
    </row>
    <row r="166" spans="1:21" ht="14.4" customHeight="1" x14ac:dyDescent="0.25">
      <c r="A166" s="31"/>
      <c r="B166" s="31"/>
      <c r="C166" s="31"/>
      <c r="D166" s="59"/>
      <c r="E166" s="60"/>
      <c r="F166" s="32"/>
      <c r="G166" s="33"/>
      <c r="H166" s="32"/>
      <c r="I166" s="33"/>
      <c r="J166" s="32"/>
      <c r="K166" s="33"/>
      <c r="L166" s="32"/>
      <c r="M166" s="33"/>
      <c r="N166" s="32"/>
      <c r="O166" s="33"/>
      <c r="P166" s="32"/>
      <c r="Q166" s="33"/>
      <c r="R166" s="32"/>
      <c r="S166" s="33"/>
      <c r="T166" s="32"/>
      <c r="U166" s="33"/>
    </row>
    <row r="167" spans="1:21" ht="14.4" customHeight="1" x14ac:dyDescent="0.25">
      <c r="A167" s="31" t="s">
        <v>166</v>
      </c>
      <c r="B167" s="31"/>
      <c r="C167" s="31" t="s">
        <v>263</v>
      </c>
      <c r="D167" s="59">
        <v>58</v>
      </c>
      <c r="E167" s="60" t="s">
        <v>279</v>
      </c>
      <c r="F167" s="32">
        <f t="shared" ref="F167:F171" si="193">J167</f>
        <v>75</v>
      </c>
      <c r="G167" s="33">
        <f t="shared" si="172"/>
        <v>4350</v>
      </c>
      <c r="H167" s="32">
        <f t="shared" ref="H167:H171" si="194">L167</f>
        <v>62</v>
      </c>
      <c r="I167" s="33">
        <f>$D167*H167</f>
        <v>3596</v>
      </c>
      <c r="J167" s="32">
        <v>75</v>
      </c>
      <c r="K167" s="33">
        <f>$D167*J167</f>
        <v>4350</v>
      </c>
      <c r="L167" s="32">
        <v>62</v>
      </c>
      <c r="M167" s="33">
        <f t="shared" ref="M167:M171" si="195">$D167*L167</f>
        <v>3596</v>
      </c>
      <c r="N167" s="32">
        <v>102.25</v>
      </c>
      <c r="O167" s="33">
        <f t="shared" ref="O167" si="196">$D167*N167</f>
        <v>5930.5</v>
      </c>
      <c r="P167" s="32">
        <v>131.5</v>
      </c>
      <c r="Q167" s="33">
        <f t="shared" ref="Q167:Q171" si="197">$D167*P167</f>
        <v>7627</v>
      </c>
      <c r="R167" s="32">
        <v>81.400000000000006</v>
      </c>
      <c r="S167" s="33">
        <f t="shared" ref="S167" si="198">$D167*R167</f>
        <v>4721.2000000000007</v>
      </c>
      <c r="T167" s="32"/>
      <c r="U167" s="33">
        <f t="shared" ref="U167" si="199">$D167*T167</f>
        <v>0</v>
      </c>
    </row>
    <row r="168" spans="1:21" ht="14.4" customHeight="1" x14ac:dyDescent="0.25">
      <c r="A168" s="31" t="s">
        <v>167</v>
      </c>
      <c r="B168" s="31"/>
      <c r="C168" s="31" t="s">
        <v>264</v>
      </c>
      <c r="D168" s="59">
        <v>10</v>
      </c>
      <c r="E168" s="60" t="s">
        <v>280</v>
      </c>
      <c r="F168" s="32">
        <f t="shared" si="193"/>
        <v>22</v>
      </c>
      <c r="G168" s="33">
        <f t="shared" si="172"/>
        <v>220</v>
      </c>
      <c r="H168" s="32">
        <f t="shared" si="194"/>
        <v>9</v>
      </c>
      <c r="I168" s="33">
        <f>$D168*H168</f>
        <v>90</v>
      </c>
      <c r="J168" s="32">
        <v>22</v>
      </c>
      <c r="K168" s="33">
        <f>$D168*J168</f>
        <v>220</v>
      </c>
      <c r="L168" s="32">
        <v>9</v>
      </c>
      <c r="M168" s="33">
        <f t="shared" si="195"/>
        <v>90</v>
      </c>
      <c r="N168" s="32">
        <v>10.9</v>
      </c>
      <c r="O168" s="33">
        <f t="shared" ref="O168" si="200">$D168*N168</f>
        <v>109</v>
      </c>
      <c r="P168" s="32">
        <v>26.2</v>
      </c>
      <c r="Q168" s="33">
        <f t="shared" si="197"/>
        <v>262</v>
      </c>
      <c r="R168" s="32">
        <v>19.100000000000001</v>
      </c>
      <c r="S168" s="33">
        <f t="shared" ref="S168" si="201">$D168*R168</f>
        <v>191</v>
      </c>
      <c r="T168" s="32"/>
      <c r="U168" s="33">
        <f t="shared" ref="U168" si="202">$D168*T168</f>
        <v>0</v>
      </c>
    </row>
    <row r="169" spans="1:21" ht="14.4" customHeight="1" x14ac:dyDescent="0.25">
      <c r="A169" s="31" t="s">
        <v>168</v>
      </c>
      <c r="B169" s="31"/>
      <c r="C169" s="31" t="s">
        <v>265</v>
      </c>
      <c r="D169" s="59">
        <v>32</v>
      </c>
      <c r="E169" s="60" t="s">
        <v>280</v>
      </c>
      <c r="F169" s="32">
        <f t="shared" si="193"/>
        <v>28</v>
      </c>
      <c r="G169" s="33">
        <f t="shared" si="172"/>
        <v>896</v>
      </c>
      <c r="H169" s="32">
        <f t="shared" si="194"/>
        <v>67</v>
      </c>
      <c r="I169" s="33">
        <f>$D169*H169</f>
        <v>2144</v>
      </c>
      <c r="J169" s="32">
        <v>28</v>
      </c>
      <c r="K169" s="33">
        <f>$D169*J169</f>
        <v>896</v>
      </c>
      <c r="L169" s="32">
        <v>67</v>
      </c>
      <c r="M169" s="33">
        <f t="shared" si="195"/>
        <v>2144</v>
      </c>
      <c r="N169" s="32">
        <v>36</v>
      </c>
      <c r="O169" s="33">
        <f t="shared" ref="O169" si="203">$D169*N169</f>
        <v>1152</v>
      </c>
      <c r="P169" s="32">
        <v>35</v>
      </c>
      <c r="Q169" s="33">
        <f t="shared" si="197"/>
        <v>1120</v>
      </c>
      <c r="R169" s="32">
        <v>19.100000000000001</v>
      </c>
      <c r="S169" s="33">
        <f t="shared" ref="S169" si="204">$D169*R169</f>
        <v>611.20000000000005</v>
      </c>
      <c r="T169" s="32"/>
      <c r="U169" s="33">
        <f t="shared" ref="U169" si="205">$D169*T169</f>
        <v>0</v>
      </c>
    </row>
    <row r="170" spans="1:21" ht="14.4" customHeight="1" x14ac:dyDescent="0.25">
      <c r="A170" s="31" t="s">
        <v>169</v>
      </c>
      <c r="B170" s="31"/>
      <c r="C170" s="31" t="s">
        <v>266</v>
      </c>
      <c r="D170" s="59">
        <v>5</v>
      </c>
      <c r="E170" s="60" t="s">
        <v>281</v>
      </c>
      <c r="F170" s="32">
        <f t="shared" si="193"/>
        <v>15</v>
      </c>
      <c r="G170" s="33">
        <f t="shared" si="172"/>
        <v>75</v>
      </c>
      <c r="H170" s="32">
        <f t="shared" si="194"/>
        <v>9</v>
      </c>
      <c r="I170" s="33">
        <f>$D170*H170</f>
        <v>45</v>
      </c>
      <c r="J170" s="32">
        <v>15</v>
      </c>
      <c r="K170" s="33">
        <f>$D170*J170</f>
        <v>75</v>
      </c>
      <c r="L170" s="32">
        <v>9</v>
      </c>
      <c r="M170" s="33">
        <f t="shared" si="195"/>
        <v>45</v>
      </c>
      <c r="N170" s="32">
        <v>25</v>
      </c>
      <c r="O170" s="33">
        <f t="shared" ref="O170" si="206">$D170*N170</f>
        <v>125</v>
      </c>
      <c r="P170" s="32">
        <v>26</v>
      </c>
      <c r="Q170" s="33">
        <f t="shared" si="197"/>
        <v>130</v>
      </c>
      <c r="R170" s="32">
        <v>80.5</v>
      </c>
      <c r="S170" s="33">
        <f t="shared" ref="S170" si="207">$D170*R170</f>
        <v>402.5</v>
      </c>
      <c r="T170" s="32"/>
      <c r="U170" s="33">
        <f t="shared" ref="U170" si="208">$D170*T170</f>
        <v>0</v>
      </c>
    </row>
    <row r="171" spans="1:21" ht="14.4" customHeight="1" x14ac:dyDescent="0.25">
      <c r="A171" s="31" t="s">
        <v>170</v>
      </c>
      <c r="B171" s="31"/>
      <c r="C171" s="31" t="s">
        <v>267</v>
      </c>
      <c r="D171" s="59">
        <v>5</v>
      </c>
      <c r="E171" s="60" t="s">
        <v>281</v>
      </c>
      <c r="F171" s="32">
        <f t="shared" si="193"/>
        <v>30</v>
      </c>
      <c r="G171" s="33">
        <f t="shared" si="172"/>
        <v>150</v>
      </c>
      <c r="H171" s="32">
        <f t="shared" si="194"/>
        <v>12</v>
      </c>
      <c r="I171" s="33">
        <f>$D171*H171</f>
        <v>60</v>
      </c>
      <c r="J171" s="32">
        <v>30</v>
      </c>
      <c r="K171" s="33">
        <f>$D171*J171</f>
        <v>150</v>
      </c>
      <c r="L171" s="32">
        <v>12</v>
      </c>
      <c r="M171" s="33">
        <f t="shared" si="195"/>
        <v>60</v>
      </c>
      <c r="N171" s="32">
        <v>25</v>
      </c>
      <c r="O171" s="33">
        <f t="shared" ref="O171" si="209">$D171*N171</f>
        <v>125</v>
      </c>
      <c r="P171" s="32">
        <v>35</v>
      </c>
      <c r="Q171" s="33">
        <f t="shared" si="197"/>
        <v>175</v>
      </c>
      <c r="R171" s="32">
        <v>67.099999999999994</v>
      </c>
      <c r="S171" s="33">
        <f t="shared" ref="S171" si="210">$D171*R171</f>
        <v>335.5</v>
      </c>
      <c r="T171" s="32"/>
      <c r="U171" s="33">
        <f t="shared" ref="U171" si="211">$D171*T171</f>
        <v>0</v>
      </c>
    </row>
    <row r="172" spans="1:21" ht="14.4" customHeight="1" x14ac:dyDescent="0.25">
      <c r="A172" s="38" t="s">
        <v>165</v>
      </c>
      <c r="B172" s="38"/>
      <c r="C172" s="38" t="s">
        <v>262</v>
      </c>
      <c r="D172" s="63"/>
      <c r="E172" s="64"/>
      <c r="F172" s="39"/>
      <c r="G172" s="40">
        <f>SUM(G167:G171)</f>
        <v>5691</v>
      </c>
      <c r="H172" s="39"/>
      <c r="I172" s="40">
        <f>SUM(I167:I171)</f>
        <v>5935</v>
      </c>
      <c r="J172" s="39"/>
      <c r="K172" s="40">
        <f>SUM(K167:K171)</f>
        <v>5691</v>
      </c>
      <c r="L172" s="39"/>
      <c r="M172" s="40">
        <f>SUM(M167:M171)</f>
        <v>5935</v>
      </c>
      <c r="N172" s="39"/>
      <c r="O172" s="40">
        <f>SUM(O167:O171)</f>
        <v>7441.5</v>
      </c>
      <c r="P172" s="39"/>
      <c r="Q172" s="40">
        <f>SUM(Q167:Q171)</f>
        <v>9314</v>
      </c>
      <c r="R172" s="39"/>
      <c r="S172" s="40">
        <f>SUM(S167:S171)</f>
        <v>6261.4000000000005</v>
      </c>
      <c r="T172" s="39"/>
      <c r="U172" s="40">
        <f>SUM(U167:U171)</f>
        <v>0</v>
      </c>
    </row>
    <row r="173" spans="1:21" ht="14.4" customHeight="1" x14ac:dyDescent="0.25">
      <c r="A173" s="31"/>
      <c r="B173" s="31"/>
      <c r="C173" s="31"/>
      <c r="D173" s="59"/>
      <c r="E173" s="60"/>
      <c r="F173" s="32"/>
      <c r="G173" s="33"/>
      <c r="H173" s="32"/>
      <c r="I173" s="33"/>
      <c r="J173" s="32"/>
      <c r="K173" s="33"/>
      <c r="L173" s="32"/>
      <c r="M173" s="33"/>
      <c r="N173" s="32"/>
      <c r="O173" s="33"/>
      <c r="P173" s="32"/>
      <c r="Q173" s="33"/>
      <c r="R173" s="32"/>
      <c r="S173" s="33"/>
      <c r="T173" s="32"/>
      <c r="U173" s="33"/>
    </row>
    <row r="174" spans="1:21" ht="14.4" customHeight="1" x14ac:dyDescent="0.25">
      <c r="A174" s="31" t="s">
        <v>172</v>
      </c>
      <c r="B174" s="31"/>
      <c r="C174" s="31" t="s">
        <v>269</v>
      </c>
      <c r="D174" s="59">
        <v>5</v>
      </c>
      <c r="E174" s="60" t="s">
        <v>280</v>
      </c>
      <c r="F174" s="32">
        <f t="shared" ref="F174:F177" si="212">J174</f>
        <v>38</v>
      </c>
      <c r="G174" s="33">
        <f t="shared" si="172"/>
        <v>190</v>
      </c>
      <c r="H174" s="32">
        <f t="shared" ref="H174:H177" si="213">L174</f>
        <v>85</v>
      </c>
      <c r="I174" s="33">
        <f>$D174*H174</f>
        <v>425</v>
      </c>
      <c r="J174" s="32">
        <v>38</v>
      </c>
      <c r="K174" s="33">
        <f>$D174*J174</f>
        <v>190</v>
      </c>
      <c r="L174" s="32">
        <v>85</v>
      </c>
      <c r="M174" s="33">
        <f t="shared" ref="M174" si="214">$D174*L174</f>
        <v>425</v>
      </c>
      <c r="N174" s="32">
        <v>39.5</v>
      </c>
      <c r="O174" s="33">
        <f t="shared" ref="O174" si="215">$D174*N174</f>
        <v>197.5</v>
      </c>
      <c r="P174" s="32">
        <v>65.2</v>
      </c>
      <c r="Q174" s="33">
        <f t="shared" ref="Q174" si="216">$D174*P174</f>
        <v>326</v>
      </c>
      <c r="R174" s="32">
        <v>62</v>
      </c>
      <c r="S174" s="33">
        <f t="shared" ref="S174" si="217">$D174*R174</f>
        <v>310</v>
      </c>
      <c r="T174" s="32"/>
      <c r="U174" s="33">
        <f t="shared" ref="U174" si="218">$D174*T174</f>
        <v>0</v>
      </c>
    </row>
    <row r="175" spans="1:21" ht="14.4" customHeight="1" x14ac:dyDescent="0.25">
      <c r="A175" s="31" t="s">
        <v>173</v>
      </c>
      <c r="B175" s="31" t="s">
        <v>220</v>
      </c>
      <c r="C175" s="31" t="s">
        <v>270</v>
      </c>
      <c r="D175" s="59">
        <v>1</v>
      </c>
      <c r="E175" s="60" t="s">
        <v>280</v>
      </c>
      <c r="F175" s="32">
        <f t="shared" si="212"/>
        <v>48</v>
      </c>
      <c r="G175" s="33" t="s">
        <v>288</v>
      </c>
      <c r="H175" s="32">
        <f t="shared" si="213"/>
        <v>95</v>
      </c>
      <c r="I175" s="33" t="s">
        <v>288</v>
      </c>
      <c r="J175" s="32">
        <v>48</v>
      </c>
      <c r="K175" s="33" t="s">
        <v>288</v>
      </c>
      <c r="L175" s="32">
        <v>95</v>
      </c>
      <c r="M175" s="33" t="s">
        <v>288</v>
      </c>
      <c r="N175" s="32">
        <v>48.5</v>
      </c>
      <c r="O175" s="33" t="s">
        <v>288</v>
      </c>
      <c r="P175" s="32">
        <v>95</v>
      </c>
      <c r="Q175" s="33" t="s">
        <v>288</v>
      </c>
      <c r="R175" s="32">
        <v>68.7</v>
      </c>
      <c r="S175" s="33" t="s">
        <v>288</v>
      </c>
      <c r="T175" s="32"/>
      <c r="U175" s="37" t="s">
        <v>288</v>
      </c>
    </row>
    <row r="176" spans="1:21" ht="14.4" customHeight="1" x14ac:dyDescent="0.25">
      <c r="A176" s="31" t="s">
        <v>174</v>
      </c>
      <c r="B176" s="31"/>
      <c r="C176" s="31" t="s">
        <v>271</v>
      </c>
      <c r="D176" s="59">
        <v>5.6</v>
      </c>
      <c r="E176" s="60" t="s">
        <v>280</v>
      </c>
      <c r="F176" s="32">
        <f t="shared" si="212"/>
        <v>65</v>
      </c>
      <c r="G176" s="33">
        <f t="shared" si="172"/>
        <v>364</v>
      </c>
      <c r="H176" s="32">
        <f t="shared" si="213"/>
        <v>52</v>
      </c>
      <c r="I176" s="33">
        <f>$D176*H176</f>
        <v>291.2</v>
      </c>
      <c r="J176" s="32">
        <v>65</v>
      </c>
      <c r="K176" s="33">
        <f>$D176*J176</f>
        <v>364</v>
      </c>
      <c r="L176" s="32">
        <v>52</v>
      </c>
      <c r="M176" s="33">
        <f t="shared" ref="M176:M177" si="219">$D176*L176</f>
        <v>291.2</v>
      </c>
      <c r="N176" s="32">
        <v>4</v>
      </c>
      <c r="O176" s="33">
        <f t="shared" ref="O176" si="220">$D176*N176</f>
        <v>22.4</v>
      </c>
      <c r="P176" s="32">
        <v>84.4</v>
      </c>
      <c r="Q176" s="33">
        <f t="shared" ref="Q176:Q177" si="221">$D176*P176</f>
        <v>472.64</v>
      </c>
      <c r="R176" s="32">
        <v>171.8</v>
      </c>
      <c r="S176" s="33">
        <f t="shared" ref="S176" si="222">$D176*R176</f>
        <v>962.08</v>
      </c>
      <c r="T176" s="32"/>
      <c r="U176" s="33">
        <f t="shared" ref="U176" si="223">$D176*T176</f>
        <v>0</v>
      </c>
    </row>
    <row r="177" spans="1:21" ht="14.4" customHeight="1" x14ac:dyDescent="0.25">
      <c r="A177" s="31" t="s">
        <v>175</v>
      </c>
      <c r="B177" s="31"/>
      <c r="C177" s="31" t="s">
        <v>272</v>
      </c>
      <c r="D177" s="59">
        <v>7.7</v>
      </c>
      <c r="E177" s="60" t="s">
        <v>280</v>
      </c>
      <c r="F177" s="32">
        <f t="shared" si="212"/>
        <v>6.5</v>
      </c>
      <c r="G177" s="33">
        <f t="shared" si="172"/>
        <v>50.050000000000004</v>
      </c>
      <c r="H177" s="32">
        <f t="shared" si="213"/>
        <v>4.5</v>
      </c>
      <c r="I177" s="33">
        <f>$D177*H177</f>
        <v>34.65</v>
      </c>
      <c r="J177" s="32">
        <v>6.5</v>
      </c>
      <c r="K177" s="33">
        <f>$D177*J177</f>
        <v>50.050000000000004</v>
      </c>
      <c r="L177" s="32">
        <v>4.5</v>
      </c>
      <c r="M177" s="33">
        <f t="shared" si="219"/>
        <v>34.65</v>
      </c>
      <c r="N177" s="32">
        <v>4</v>
      </c>
      <c r="O177" s="33">
        <f t="shared" ref="O177" si="224">$D177*N177</f>
        <v>30.8</v>
      </c>
      <c r="P177" s="32">
        <v>6.9</v>
      </c>
      <c r="Q177" s="33">
        <f t="shared" si="221"/>
        <v>53.13</v>
      </c>
      <c r="R177" s="32">
        <v>10.7</v>
      </c>
      <c r="S177" s="33">
        <f t="shared" ref="S177" si="225">$D177*R177</f>
        <v>82.39</v>
      </c>
      <c r="T177" s="32"/>
      <c r="U177" s="33">
        <f t="shared" ref="U177" si="226">$D177*T177</f>
        <v>0</v>
      </c>
    </row>
    <row r="178" spans="1:21" ht="14.4" customHeight="1" x14ac:dyDescent="0.25">
      <c r="A178" s="38" t="s">
        <v>171</v>
      </c>
      <c r="B178" s="38"/>
      <c r="C178" s="38" t="s">
        <v>268</v>
      </c>
      <c r="D178" s="63"/>
      <c r="E178" s="64"/>
      <c r="F178" s="39"/>
      <c r="G178" s="40">
        <f>SUM(G174:G177)</f>
        <v>604.04999999999995</v>
      </c>
      <c r="H178" s="39"/>
      <c r="I178" s="40">
        <f>SUM(I174:I177)</f>
        <v>750.85</v>
      </c>
      <c r="J178" s="39"/>
      <c r="K178" s="40">
        <f>SUM(K174:K177)</f>
        <v>604.04999999999995</v>
      </c>
      <c r="L178" s="39"/>
      <c r="M178" s="40">
        <f>SUM(M174:M177)</f>
        <v>750.85</v>
      </c>
      <c r="N178" s="39"/>
      <c r="O178" s="40">
        <f>SUM(O174:O177)</f>
        <v>250.70000000000002</v>
      </c>
      <c r="P178" s="39"/>
      <c r="Q178" s="40">
        <f>SUM(Q174:Q177)</f>
        <v>851.77</v>
      </c>
      <c r="R178" s="39"/>
      <c r="S178" s="40">
        <f>SUM(S174:S177)</f>
        <v>1354.47</v>
      </c>
      <c r="T178" s="39"/>
      <c r="U178" s="40">
        <f>SUM(U174:U177)</f>
        <v>0</v>
      </c>
    </row>
    <row r="179" spans="1:21" ht="14.4" customHeight="1" x14ac:dyDescent="0.25">
      <c r="A179" s="31"/>
      <c r="B179" s="31"/>
      <c r="C179" s="31"/>
      <c r="D179" s="59"/>
      <c r="E179" s="60"/>
      <c r="F179" s="32"/>
      <c r="G179" s="33"/>
      <c r="H179" s="32"/>
      <c r="I179" s="33"/>
      <c r="J179" s="32"/>
      <c r="K179" s="33"/>
      <c r="L179" s="32"/>
      <c r="M179" s="33"/>
      <c r="N179" s="32"/>
      <c r="O179" s="33"/>
      <c r="P179" s="32"/>
      <c r="Q179" s="33"/>
      <c r="R179" s="32"/>
      <c r="S179" s="33"/>
      <c r="T179" s="32"/>
      <c r="U179" s="33"/>
    </row>
    <row r="180" spans="1:21" ht="14.4" customHeight="1" x14ac:dyDescent="0.25">
      <c r="A180" s="34" t="s">
        <v>176</v>
      </c>
      <c r="B180" s="34"/>
      <c r="C180" s="34" t="s">
        <v>277</v>
      </c>
      <c r="D180" s="61"/>
      <c r="E180" s="62"/>
      <c r="F180" s="35"/>
      <c r="G180" s="36"/>
      <c r="H180" s="35"/>
      <c r="I180" s="36"/>
      <c r="J180" s="35"/>
      <c r="K180" s="36"/>
      <c r="L180" s="35"/>
      <c r="M180" s="36"/>
      <c r="N180" s="35"/>
      <c r="O180" s="36"/>
      <c r="P180" s="35"/>
      <c r="Q180" s="36"/>
      <c r="R180" s="35"/>
      <c r="S180" s="36"/>
      <c r="T180" s="35"/>
      <c r="U180" s="36"/>
    </row>
    <row r="181" spans="1:21" ht="14.4" customHeight="1" x14ac:dyDescent="0.25">
      <c r="A181" s="31" t="s">
        <v>178</v>
      </c>
      <c r="B181" s="31"/>
      <c r="C181" s="31" t="s">
        <v>224</v>
      </c>
      <c r="D181" s="59">
        <v>200</v>
      </c>
      <c r="E181" s="60" t="s">
        <v>279</v>
      </c>
      <c r="F181" s="32">
        <f t="shared" ref="F181:F202" si="227">J181</f>
        <v>56</v>
      </c>
      <c r="G181" s="33">
        <f t="shared" si="172"/>
        <v>11200</v>
      </c>
      <c r="H181" s="32">
        <f t="shared" ref="H181:H202" si="228">L181</f>
        <v>59</v>
      </c>
      <c r="I181" s="33">
        <f>$D181*H181</f>
        <v>11800</v>
      </c>
      <c r="J181" s="32">
        <v>56</v>
      </c>
      <c r="K181" s="33">
        <f>$D181*J181</f>
        <v>11200</v>
      </c>
      <c r="L181" s="32">
        <v>59</v>
      </c>
      <c r="M181" s="33">
        <f t="shared" ref="M181:M182" si="229">$D181*L181</f>
        <v>11800</v>
      </c>
      <c r="N181" s="32">
        <v>59.95</v>
      </c>
      <c r="O181" s="33">
        <f t="shared" ref="O181" si="230">$D181*N181</f>
        <v>11990</v>
      </c>
      <c r="P181" s="76">
        <v>54.1</v>
      </c>
      <c r="Q181" s="33">
        <f t="shared" ref="Q181:Q182" si="231">$D181*P181</f>
        <v>10820</v>
      </c>
      <c r="R181" s="32">
        <v>72</v>
      </c>
      <c r="S181" s="33">
        <f t="shared" ref="S181" si="232">$D181*R181</f>
        <v>14400</v>
      </c>
      <c r="T181" s="32"/>
      <c r="U181" s="33">
        <f t="shared" ref="U181" si="233">$D181*T181</f>
        <v>0</v>
      </c>
    </row>
    <row r="182" spans="1:21" ht="14.4" customHeight="1" x14ac:dyDescent="0.25">
      <c r="A182" s="31" t="s">
        <v>179</v>
      </c>
      <c r="B182" s="31"/>
      <c r="C182" s="31" t="s">
        <v>225</v>
      </c>
      <c r="D182" s="59">
        <v>15</v>
      </c>
      <c r="E182" s="60" t="s">
        <v>279</v>
      </c>
      <c r="F182" s="32">
        <f t="shared" si="227"/>
        <v>65</v>
      </c>
      <c r="G182" s="33">
        <f t="shared" si="172"/>
        <v>975</v>
      </c>
      <c r="H182" s="32">
        <f t="shared" si="228"/>
        <v>66</v>
      </c>
      <c r="I182" s="33">
        <f>$D182*H182</f>
        <v>990</v>
      </c>
      <c r="J182" s="32">
        <v>65</v>
      </c>
      <c r="K182" s="33">
        <f>$D182*J182</f>
        <v>975</v>
      </c>
      <c r="L182" s="32">
        <v>66</v>
      </c>
      <c r="M182" s="33">
        <f t="shared" si="229"/>
        <v>990</v>
      </c>
      <c r="N182" s="32">
        <v>85.5</v>
      </c>
      <c r="O182" s="33">
        <f t="shared" ref="O182" si="234">$D182*N182</f>
        <v>1282.5</v>
      </c>
      <c r="P182" s="32">
        <v>77.5</v>
      </c>
      <c r="Q182" s="33">
        <f t="shared" si="231"/>
        <v>1162.5</v>
      </c>
      <c r="R182" s="32">
        <v>89.5</v>
      </c>
      <c r="S182" s="33">
        <f t="shared" ref="S182" si="235">$D182*R182</f>
        <v>1342.5</v>
      </c>
      <c r="T182" s="32"/>
      <c r="U182" s="33">
        <f t="shared" ref="U182" si="236">$D182*T182</f>
        <v>0</v>
      </c>
    </row>
    <row r="183" spans="1:21" ht="14.4" customHeight="1" x14ac:dyDescent="0.25">
      <c r="A183" s="31" t="s">
        <v>180</v>
      </c>
      <c r="B183" s="31" t="s">
        <v>220</v>
      </c>
      <c r="C183" s="31" t="s">
        <v>228</v>
      </c>
      <c r="D183" s="59">
        <v>1</v>
      </c>
      <c r="E183" s="60" t="s">
        <v>280</v>
      </c>
      <c r="F183" s="32">
        <f t="shared" si="227"/>
        <v>2</v>
      </c>
      <c r="G183" s="33" t="s">
        <v>288</v>
      </c>
      <c r="H183" s="32">
        <f t="shared" si="228"/>
        <v>29</v>
      </c>
      <c r="I183" s="33" t="s">
        <v>288</v>
      </c>
      <c r="J183" s="32">
        <v>2</v>
      </c>
      <c r="K183" s="33" t="s">
        <v>288</v>
      </c>
      <c r="L183" s="32">
        <v>29</v>
      </c>
      <c r="M183" s="33" t="s">
        <v>288</v>
      </c>
      <c r="N183" s="32">
        <v>12.5</v>
      </c>
      <c r="O183" s="33" t="s">
        <v>288</v>
      </c>
      <c r="P183" s="32">
        <v>46.2</v>
      </c>
      <c r="Q183" s="33" t="s">
        <v>288</v>
      </c>
      <c r="R183" s="32">
        <v>118.1</v>
      </c>
      <c r="S183" s="33" t="s">
        <v>288</v>
      </c>
      <c r="T183" s="32"/>
      <c r="U183" s="37" t="s">
        <v>288</v>
      </c>
    </row>
    <row r="184" spans="1:21" ht="14.4" customHeight="1" x14ac:dyDescent="0.25">
      <c r="A184" s="31" t="s">
        <v>181</v>
      </c>
      <c r="B184" s="31" t="s">
        <v>220</v>
      </c>
      <c r="C184" s="31" t="s">
        <v>278</v>
      </c>
      <c r="D184" s="59">
        <v>1</v>
      </c>
      <c r="E184" s="60" t="s">
        <v>279</v>
      </c>
      <c r="F184" s="32">
        <f t="shared" si="227"/>
        <v>8</v>
      </c>
      <c r="G184" s="33" t="s">
        <v>288</v>
      </c>
      <c r="H184" s="32">
        <f t="shared" si="228"/>
        <v>5.8</v>
      </c>
      <c r="I184" s="33" t="s">
        <v>288</v>
      </c>
      <c r="J184" s="32">
        <v>8</v>
      </c>
      <c r="K184" s="33" t="s">
        <v>288</v>
      </c>
      <c r="L184" s="32">
        <v>5.8</v>
      </c>
      <c r="M184" s="33" t="s">
        <v>288</v>
      </c>
      <c r="N184" s="32">
        <v>4.5999999999999996</v>
      </c>
      <c r="O184" s="33" t="s">
        <v>288</v>
      </c>
      <c r="P184" s="32">
        <v>4.2</v>
      </c>
      <c r="Q184" s="33" t="s">
        <v>288</v>
      </c>
      <c r="R184" s="32">
        <v>7.2</v>
      </c>
      <c r="S184" s="33" t="s">
        <v>288</v>
      </c>
      <c r="T184" s="32"/>
      <c r="U184" s="37" t="s">
        <v>288</v>
      </c>
    </row>
    <row r="185" spans="1:21" ht="14.4" customHeight="1" x14ac:dyDescent="0.25">
      <c r="A185" s="31" t="s">
        <v>182</v>
      </c>
      <c r="B185" s="31"/>
      <c r="C185" s="31" t="s">
        <v>229</v>
      </c>
      <c r="D185" s="59">
        <v>10</v>
      </c>
      <c r="E185" s="60" t="s">
        <v>280</v>
      </c>
      <c r="F185" s="32">
        <f t="shared" si="227"/>
        <v>7.5</v>
      </c>
      <c r="G185" s="33">
        <f t="shared" si="172"/>
        <v>75</v>
      </c>
      <c r="H185" s="32">
        <f t="shared" si="228"/>
        <v>5.95</v>
      </c>
      <c r="I185" s="33">
        <f>$D185*H185</f>
        <v>59.5</v>
      </c>
      <c r="J185" s="32">
        <v>7.5</v>
      </c>
      <c r="K185" s="33">
        <f>$D185*J185</f>
        <v>75</v>
      </c>
      <c r="L185" s="32">
        <v>5.95</v>
      </c>
      <c r="M185" s="33">
        <f t="shared" ref="M185" si="237">$D185*L185</f>
        <v>59.5</v>
      </c>
      <c r="N185" s="32">
        <v>28.2</v>
      </c>
      <c r="O185" s="33">
        <f t="shared" ref="O185" si="238">$D185*N185</f>
        <v>282</v>
      </c>
      <c r="P185" s="32">
        <v>11.5</v>
      </c>
      <c r="Q185" s="33">
        <f t="shared" ref="Q185" si="239">$D185*P185</f>
        <v>115</v>
      </c>
      <c r="R185" s="32">
        <v>33.700000000000003</v>
      </c>
      <c r="S185" s="33">
        <f t="shared" ref="S185" si="240">$D185*R185</f>
        <v>337</v>
      </c>
      <c r="T185" s="32"/>
      <c r="U185" s="33">
        <f t="shared" ref="U185" si="241">$D185*T185</f>
        <v>0</v>
      </c>
    </row>
    <row r="186" spans="1:21" ht="14.4" customHeight="1" x14ac:dyDescent="0.25">
      <c r="A186" s="31" t="s">
        <v>183</v>
      </c>
      <c r="B186" s="31" t="s">
        <v>220</v>
      </c>
      <c r="C186" s="31" t="s">
        <v>230</v>
      </c>
      <c r="D186" s="59">
        <v>1</v>
      </c>
      <c r="E186" s="60" t="s">
        <v>280</v>
      </c>
      <c r="F186" s="32">
        <f t="shared" si="227"/>
        <v>22</v>
      </c>
      <c r="G186" s="33" t="s">
        <v>288</v>
      </c>
      <c r="H186" s="32">
        <f t="shared" si="228"/>
        <v>19.7</v>
      </c>
      <c r="I186" s="33" t="s">
        <v>288</v>
      </c>
      <c r="J186" s="32">
        <v>22</v>
      </c>
      <c r="K186" s="33" t="s">
        <v>288</v>
      </c>
      <c r="L186" s="32">
        <v>19.7</v>
      </c>
      <c r="M186" s="33" t="s">
        <v>288</v>
      </c>
      <c r="N186" s="32">
        <v>14.5</v>
      </c>
      <c r="O186" s="33" t="s">
        <v>288</v>
      </c>
      <c r="P186" s="32">
        <v>18.5</v>
      </c>
      <c r="Q186" s="33" t="s">
        <v>288</v>
      </c>
      <c r="R186" s="32">
        <v>30.6</v>
      </c>
      <c r="S186" s="33" t="s">
        <v>288</v>
      </c>
      <c r="T186" s="32"/>
      <c r="U186" s="37" t="s">
        <v>288</v>
      </c>
    </row>
    <row r="187" spans="1:21" ht="14.4" customHeight="1" x14ac:dyDescent="0.25">
      <c r="A187" s="31" t="s">
        <v>184</v>
      </c>
      <c r="B187" s="31" t="s">
        <v>220</v>
      </c>
      <c r="C187" s="31" t="s">
        <v>231</v>
      </c>
      <c r="D187" s="59">
        <v>1</v>
      </c>
      <c r="E187" s="60" t="s">
        <v>280</v>
      </c>
      <c r="F187" s="32">
        <f t="shared" si="227"/>
        <v>6</v>
      </c>
      <c r="G187" s="33" t="s">
        <v>288</v>
      </c>
      <c r="H187" s="32">
        <f t="shared" si="228"/>
        <v>4.5</v>
      </c>
      <c r="I187" s="33" t="s">
        <v>288</v>
      </c>
      <c r="J187" s="32">
        <v>6</v>
      </c>
      <c r="K187" s="33" t="s">
        <v>288</v>
      </c>
      <c r="L187" s="32">
        <v>4.5</v>
      </c>
      <c r="M187" s="33" t="s">
        <v>288</v>
      </c>
      <c r="N187" s="32">
        <v>4</v>
      </c>
      <c r="O187" s="33" t="s">
        <v>288</v>
      </c>
      <c r="P187" s="75">
        <v>12</v>
      </c>
      <c r="Q187" s="33" t="s">
        <v>288</v>
      </c>
      <c r="R187" s="32">
        <v>12.9</v>
      </c>
      <c r="S187" s="33" t="s">
        <v>288</v>
      </c>
      <c r="T187" s="32"/>
      <c r="U187" s="37" t="s">
        <v>288</v>
      </c>
    </row>
    <row r="188" spans="1:21" ht="14.4" customHeight="1" x14ac:dyDescent="0.25">
      <c r="A188" s="31" t="s">
        <v>185</v>
      </c>
      <c r="B188" s="31" t="s">
        <v>220</v>
      </c>
      <c r="C188" s="31" t="s">
        <v>232</v>
      </c>
      <c r="D188" s="59">
        <v>1</v>
      </c>
      <c r="E188" s="60" t="s">
        <v>280</v>
      </c>
      <c r="F188" s="32">
        <f t="shared" si="227"/>
        <v>15</v>
      </c>
      <c r="G188" s="33" t="s">
        <v>288</v>
      </c>
      <c r="H188" s="32">
        <f t="shared" si="228"/>
        <v>4.5</v>
      </c>
      <c r="I188" s="33" t="s">
        <v>288</v>
      </c>
      <c r="J188" s="32">
        <v>15</v>
      </c>
      <c r="K188" s="33" t="s">
        <v>288</v>
      </c>
      <c r="L188" s="32">
        <v>4.5</v>
      </c>
      <c r="M188" s="33" t="s">
        <v>288</v>
      </c>
      <c r="N188" s="32">
        <v>5.2</v>
      </c>
      <c r="O188" s="33" t="s">
        <v>288</v>
      </c>
      <c r="P188" s="32">
        <v>27.2</v>
      </c>
      <c r="Q188" s="33" t="s">
        <v>288</v>
      </c>
      <c r="R188" s="32">
        <v>74.5</v>
      </c>
      <c r="S188" s="33" t="s">
        <v>288</v>
      </c>
      <c r="T188" s="32"/>
      <c r="U188" s="37" t="s">
        <v>288</v>
      </c>
    </row>
    <row r="189" spans="1:21" ht="14.4" customHeight="1" x14ac:dyDescent="0.25">
      <c r="A189" s="31" t="s">
        <v>186</v>
      </c>
      <c r="B189" s="31"/>
      <c r="C189" s="31" t="s">
        <v>233</v>
      </c>
      <c r="D189" s="59">
        <v>6</v>
      </c>
      <c r="E189" s="60" t="s">
        <v>281</v>
      </c>
      <c r="F189" s="32">
        <f t="shared" si="227"/>
        <v>73</v>
      </c>
      <c r="G189" s="33">
        <f t="shared" si="172"/>
        <v>438</v>
      </c>
      <c r="H189" s="32">
        <f t="shared" si="228"/>
        <v>275</v>
      </c>
      <c r="I189" s="33">
        <f>$D189*H189</f>
        <v>1650</v>
      </c>
      <c r="J189" s="32">
        <v>73</v>
      </c>
      <c r="K189" s="33">
        <f>$D189*J189</f>
        <v>438</v>
      </c>
      <c r="L189" s="32">
        <v>275</v>
      </c>
      <c r="M189" s="33">
        <f t="shared" ref="M189" si="242">$D189*L189</f>
        <v>1650</v>
      </c>
      <c r="N189" s="32">
        <v>272.10000000000002</v>
      </c>
      <c r="O189" s="33">
        <f t="shared" ref="O189" si="243">$D189*N189</f>
        <v>1632.6000000000001</v>
      </c>
      <c r="P189" s="32">
        <v>4.2</v>
      </c>
      <c r="Q189" s="33">
        <f t="shared" ref="Q189" si="244">$D189*P189</f>
        <v>25.200000000000003</v>
      </c>
      <c r="R189" s="32">
        <v>451.7</v>
      </c>
      <c r="S189" s="33">
        <f t="shared" ref="S189" si="245">$D189*R189</f>
        <v>2710.2</v>
      </c>
      <c r="T189" s="32"/>
      <c r="U189" s="33">
        <f t="shared" ref="U189" si="246">$D189*T189</f>
        <v>0</v>
      </c>
    </row>
    <row r="190" spans="1:21" ht="14.4" customHeight="1" x14ac:dyDescent="0.25">
      <c r="A190" s="31" t="s">
        <v>187</v>
      </c>
      <c r="B190" s="31" t="s">
        <v>220</v>
      </c>
      <c r="C190" s="31" t="s">
        <v>234</v>
      </c>
      <c r="D190" s="59">
        <v>1</v>
      </c>
      <c r="E190" s="60" t="s">
        <v>281</v>
      </c>
      <c r="F190" s="32">
        <f t="shared" si="227"/>
        <v>62</v>
      </c>
      <c r="G190" s="33" t="s">
        <v>288</v>
      </c>
      <c r="H190" s="32">
        <f t="shared" si="228"/>
        <v>79</v>
      </c>
      <c r="I190" s="33" t="s">
        <v>288</v>
      </c>
      <c r="J190" s="32">
        <v>62</v>
      </c>
      <c r="K190" s="33" t="s">
        <v>288</v>
      </c>
      <c r="L190" s="32">
        <v>79</v>
      </c>
      <c r="M190" s="33" t="s">
        <v>288</v>
      </c>
      <c r="N190" s="32">
        <v>65</v>
      </c>
      <c r="O190" s="33" t="s">
        <v>288</v>
      </c>
      <c r="P190" s="32">
        <v>102</v>
      </c>
      <c r="Q190" s="33" t="s">
        <v>288</v>
      </c>
      <c r="R190" s="32">
        <v>91.7</v>
      </c>
      <c r="S190" s="33" t="s">
        <v>288</v>
      </c>
      <c r="T190" s="32"/>
      <c r="U190" s="37" t="s">
        <v>288</v>
      </c>
    </row>
    <row r="191" spans="1:21" ht="14.4" customHeight="1" x14ac:dyDescent="0.25">
      <c r="A191" s="31" t="s">
        <v>188</v>
      </c>
      <c r="B191" s="31"/>
      <c r="C191" s="31" t="s">
        <v>235</v>
      </c>
      <c r="D191" s="59">
        <v>3</v>
      </c>
      <c r="E191" s="60" t="s">
        <v>281</v>
      </c>
      <c r="F191" s="32">
        <f t="shared" si="227"/>
        <v>65</v>
      </c>
      <c r="G191" s="33">
        <f t="shared" si="172"/>
        <v>195</v>
      </c>
      <c r="H191" s="32">
        <f t="shared" si="228"/>
        <v>84</v>
      </c>
      <c r="I191" s="33">
        <f>$D191*H191</f>
        <v>252</v>
      </c>
      <c r="J191" s="32">
        <v>65</v>
      </c>
      <c r="K191" s="33">
        <f>$D191*J191</f>
        <v>195</v>
      </c>
      <c r="L191" s="32">
        <v>84</v>
      </c>
      <c r="M191" s="33">
        <f t="shared" ref="M191" si="247">$D191*L191</f>
        <v>252</v>
      </c>
      <c r="N191" s="32">
        <v>65</v>
      </c>
      <c r="O191" s="33">
        <f t="shared" ref="O191" si="248">$D191*N191</f>
        <v>195</v>
      </c>
      <c r="P191" s="32">
        <v>125</v>
      </c>
      <c r="Q191" s="33">
        <f t="shared" ref="Q191" si="249">$D191*P191</f>
        <v>375</v>
      </c>
      <c r="R191" s="32">
        <v>145.6</v>
      </c>
      <c r="S191" s="33">
        <f t="shared" ref="S191" si="250">$D191*R191</f>
        <v>436.79999999999995</v>
      </c>
      <c r="T191" s="32"/>
      <c r="U191" s="33">
        <f t="shared" ref="U191" si="251">$D191*T191</f>
        <v>0</v>
      </c>
    </row>
    <row r="192" spans="1:21" ht="14.4" customHeight="1" x14ac:dyDescent="0.25">
      <c r="A192" s="31" t="s">
        <v>189</v>
      </c>
      <c r="B192" s="31" t="s">
        <v>220</v>
      </c>
      <c r="C192" s="31" t="s">
        <v>236</v>
      </c>
      <c r="D192" s="59">
        <v>1</v>
      </c>
      <c r="E192" s="60" t="s">
        <v>281</v>
      </c>
      <c r="F192" s="32">
        <f t="shared" si="227"/>
        <v>75</v>
      </c>
      <c r="G192" s="33" t="s">
        <v>288</v>
      </c>
      <c r="H192" s="32">
        <f t="shared" si="228"/>
        <v>120</v>
      </c>
      <c r="I192" s="33" t="s">
        <v>288</v>
      </c>
      <c r="J192" s="32">
        <v>75</v>
      </c>
      <c r="K192" s="33" t="s">
        <v>288</v>
      </c>
      <c r="L192" s="32">
        <v>120</v>
      </c>
      <c r="M192" s="33" t="s">
        <v>288</v>
      </c>
      <c r="N192" s="32">
        <v>90</v>
      </c>
      <c r="O192" s="33" t="s">
        <v>288</v>
      </c>
      <c r="P192" s="32">
        <v>210</v>
      </c>
      <c r="Q192" s="33" t="s">
        <v>288</v>
      </c>
      <c r="R192" s="32">
        <v>164.2</v>
      </c>
      <c r="S192" s="33" t="s">
        <v>288</v>
      </c>
      <c r="T192" s="32"/>
      <c r="U192" s="37" t="s">
        <v>288</v>
      </c>
    </row>
    <row r="193" spans="1:21" ht="14.4" customHeight="1" x14ac:dyDescent="0.25">
      <c r="A193" s="31" t="s">
        <v>190</v>
      </c>
      <c r="B193" s="31" t="s">
        <v>220</v>
      </c>
      <c r="C193" s="31" t="s">
        <v>238</v>
      </c>
      <c r="D193" s="59">
        <v>2</v>
      </c>
      <c r="E193" s="60" t="s">
        <v>280</v>
      </c>
      <c r="F193" s="32">
        <f t="shared" si="227"/>
        <v>20</v>
      </c>
      <c r="G193" s="33" t="s">
        <v>288</v>
      </c>
      <c r="H193" s="32">
        <f t="shared" si="228"/>
        <v>20</v>
      </c>
      <c r="I193" s="33" t="s">
        <v>288</v>
      </c>
      <c r="J193" s="32">
        <v>20</v>
      </c>
      <c r="K193" s="33" t="s">
        <v>288</v>
      </c>
      <c r="L193" s="32">
        <v>20</v>
      </c>
      <c r="M193" s="33" t="s">
        <v>288</v>
      </c>
      <c r="N193" s="32">
        <v>28.9</v>
      </c>
      <c r="O193" s="33" t="s">
        <v>288</v>
      </c>
      <c r="P193" s="32">
        <v>38.5</v>
      </c>
      <c r="Q193" s="33" t="s">
        <v>288</v>
      </c>
      <c r="R193" s="32">
        <v>36.6</v>
      </c>
      <c r="S193" s="33" t="s">
        <v>288</v>
      </c>
      <c r="T193" s="32"/>
      <c r="U193" s="37" t="s">
        <v>288</v>
      </c>
    </row>
    <row r="194" spans="1:21" ht="14.4" customHeight="1" x14ac:dyDescent="0.25">
      <c r="A194" s="31" t="s">
        <v>191</v>
      </c>
      <c r="B194" s="31" t="s">
        <v>220</v>
      </c>
      <c r="C194" s="31" t="s">
        <v>239</v>
      </c>
      <c r="D194" s="59">
        <v>1</v>
      </c>
      <c r="E194" s="60" t="s">
        <v>281</v>
      </c>
      <c r="F194" s="32">
        <f t="shared" si="227"/>
        <v>10</v>
      </c>
      <c r="G194" s="33" t="s">
        <v>288</v>
      </c>
      <c r="H194" s="32">
        <f t="shared" si="228"/>
        <v>7</v>
      </c>
      <c r="I194" s="33" t="s">
        <v>288</v>
      </c>
      <c r="J194" s="32">
        <v>10</v>
      </c>
      <c r="K194" s="33" t="s">
        <v>288</v>
      </c>
      <c r="L194" s="32">
        <v>7</v>
      </c>
      <c r="M194" s="33" t="s">
        <v>288</v>
      </c>
      <c r="N194" s="32">
        <v>10</v>
      </c>
      <c r="O194" s="33" t="s">
        <v>288</v>
      </c>
      <c r="P194" s="32">
        <v>12</v>
      </c>
      <c r="Q194" s="33" t="s">
        <v>288</v>
      </c>
      <c r="R194" s="32">
        <v>9</v>
      </c>
      <c r="S194" s="33" t="s">
        <v>288</v>
      </c>
      <c r="T194" s="32"/>
      <c r="U194" s="37" t="s">
        <v>288</v>
      </c>
    </row>
    <row r="195" spans="1:21" ht="14.4" customHeight="1" x14ac:dyDescent="0.25">
      <c r="A195" s="31" t="s">
        <v>192</v>
      </c>
      <c r="B195" s="31" t="s">
        <v>220</v>
      </c>
      <c r="C195" s="31" t="s">
        <v>240</v>
      </c>
      <c r="D195" s="59">
        <v>1</v>
      </c>
      <c r="E195" s="60" t="s">
        <v>281</v>
      </c>
      <c r="F195" s="32">
        <f t="shared" si="227"/>
        <v>15</v>
      </c>
      <c r="G195" s="33" t="s">
        <v>288</v>
      </c>
      <c r="H195" s="32">
        <f t="shared" si="228"/>
        <v>9</v>
      </c>
      <c r="I195" s="33" t="s">
        <v>288</v>
      </c>
      <c r="J195" s="32">
        <v>15</v>
      </c>
      <c r="K195" s="33" t="s">
        <v>288</v>
      </c>
      <c r="L195" s="32">
        <v>9</v>
      </c>
      <c r="M195" s="33" t="s">
        <v>288</v>
      </c>
      <c r="N195" s="32">
        <v>25</v>
      </c>
      <c r="O195" s="33" t="s">
        <v>288</v>
      </c>
      <c r="P195" s="32">
        <v>20</v>
      </c>
      <c r="Q195" s="33" t="s">
        <v>288</v>
      </c>
      <c r="R195" s="32">
        <v>10.3</v>
      </c>
      <c r="S195" s="33" t="s">
        <v>288</v>
      </c>
      <c r="T195" s="32"/>
      <c r="U195" s="37" t="s">
        <v>288</v>
      </c>
    </row>
    <row r="196" spans="1:21" ht="14.4" customHeight="1" x14ac:dyDescent="0.25">
      <c r="A196" s="31" t="s">
        <v>193</v>
      </c>
      <c r="B196" s="31" t="s">
        <v>220</v>
      </c>
      <c r="C196" s="31" t="s">
        <v>241</v>
      </c>
      <c r="D196" s="59">
        <v>1</v>
      </c>
      <c r="E196" s="60" t="s">
        <v>281</v>
      </c>
      <c r="F196" s="32">
        <f t="shared" si="227"/>
        <v>10</v>
      </c>
      <c r="G196" s="33" t="s">
        <v>288</v>
      </c>
      <c r="H196" s="32">
        <f t="shared" si="228"/>
        <v>15</v>
      </c>
      <c r="I196" s="33" t="s">
        <v>288</v>
      </c>
      <c r="J196" s="32">
        <v>10</v>
      </c>
      <c r="K196" s="33" t="s">
        <v>288</v>
      </c>
      <c r="L196" s="32">
        <v>15</v>
      </c>
      <c r="M196" s="33" t="s">
        <v>288</v>
      </c>
      <c r="N196" s="32">
        <v>10</v>
      </c>
      <c r="O196" s="33" t="s">
        <v>288</v>
      </c>
      <c r="P196" s="32">
        <v>25</v>
      </c>
      <c r="Q196" s="33" t="s">
        <v>288</v>
      </c>
      <c r="R196" s="32">
        <v>5.2</v>
      </c>
      <c r="S196" s="33" t="s">
        <v>288</v>
      </c>
      <c r="T196" s="32"/>
      <c r="U196" s="37" t="s">
        <v>288</v>
      </c>
    </row>
    <row r="197" spans="1:21" ht="14.4" customHeight="1" x14ac:dyDescent="0.25">
      <c r="A197" s="31" t="s">
        <v>194</v>
      </c>
      <c r="B197" s="31" t="s">
        <v>220</v>
      </c>
      <c r="C197" s="31" t="s">
        <v>242</v>
      </c>
      <c r="D197" s="59">
        <v>1</v>
      </c>
      <c r="E197" s="60" t="s">
        <v>281</v>
      </c>
      <c r="F197" s="32">
        <f t="shared" si="227"/>
        <v>15</v>
      </c>
      <c r="G197" s="33" t="s">
        <v>288</v>
      </c>
      <c r="H197" s="32">
        <f t="shared" si="228"/>
        <v>17</v>
      </c>
      <c r="I197" s="33" t="s">
        <v>288</v>
      </c>
      <c r="J197" s="32">
        <v>15</v>
      </c>
      <c r="K197" s="33" t="s">
        <v>288</v>
      </c>
      <c r="L197" s="32">
        <v>17</v>
      </c>
      <c r="M197" s="33" t="s">
        <v>288</v>
      </c>
      <c r="N197" s="32">
        <v>25</v>
      </c>
      <c r="O197" s="33" t="s">
        <v>288</v>
      </c>
      <c r="P197" s="32">
        <v>35</v>
      </c>
      <c r="Q197" s="33" t="s">
        <v>288</v>
      </c>
      <c r="R197" s="32">
        <v>7.8</v>
      </c>
      <c r="S197" s="33" t="s">
        <v>288</v>
      </c>
      <c r="T197" s="32"/>
      <c r="U197" s="37" t="s">
        <v>288</v>
      </c>
    </row>
    <row r="198" spans="1:21" ht="14.4" customHeight="1" x14ac:dyDescent="0.25">
      <c r="A198" s="31" t="s">
        <v>195</v>
      </c>
      <c r="B198" s="31" t="s">
        <v>220</v>
      </c>
      <c r="C198" s="31" t="s">
        <v>243</v>
      </c>
      <c r="D198" s="59">
        <v>1</v>
      </c>
      <c r="E198" s="60" t="s">
        <v>281</v>
      </c>
      <c r="F198" s="32">
        <f t="shared" si="227"/>
        <v>20</v>
      </c>
      <c r="G198" s="33" t="s">
        <v>288</v>
      </c>
      <c r="H198" s="32">
        <f t="shared" si="228"/>
        <v>6</v>
      </c>
      <c r="I198" s="33" t="s">
        <v>288</v>
      </c>
      <c r="J198" s="32">
        <v>20</v>
      </c>
      <c r="K198" s="33" t="s">
        <v>288</v>
      </c>
      <c r="L198" s="32">
        <v>6</v>
      </c>
      <c r="M198" s="33" t="s">
        <v>288</v>
      </c>
      <c r="N198" s="32">
        <v>3.5</v>
      </c>
      <c r="O198" s="33" t="s">
        <v>288</v>
      </c>
      <c r="P198" s="32">
        <v>8</v>
      </c>
      <c r="Q198" s="33" t="s">
        <v>288</v>
      </c>
      <c r="R198" s="32">
        <v>4.2</v>
      </c>
      <c r="S198" s="33" t="s">
        <v>288</v>
      </c>
      <c r="T198" s="32"/>
      <c r="U198" s="37" t="s">
        <v>288</v>
      </c>
    </row>
    <row r="199" spans="1:21" ht="14.4" customHeight="1" x14ac:dyDescent="0.25">
      <c r="A199" s="31" t="s">
        <v>196</v>
      </c>
      <c r="B199" s="31" t="s">
        <v>220</v>
      </c>
      <c r="C199" s="31" t="s">
        <v>244</v>
      </c>
      <c r="D199" s="59">
        <v>1</v>
      </c>
      <c r="E199" s="60" t="s">
        <v>281</v>
      </c>
      <c r="F199" s="32">
        <f t="shared" si="227"/>
        <v>30</v>
      </c>
      <c r="G199" s="33" t="s">
        <v>288</v>
      </c>
      <c r="H199" s="32">
        <f t="shared" si="228"/>
        <v>7</v>
      </c>
      <c r="I199" s="33" t="s">
        <v>288</v>
      </c>
      <c r="J199" s="32">
        <v>30</v>
      </c>
      <c r="K199" s="33" t="s">
        <v>288</v>
      </c>
      <c r="L199" s="32">
        <v>7</v>
      </c>
      <c r="M199" s="33" t="s">
        <v>288</v>
      </c>
      <c r="N199" s="32">
        <v>10</v>
      </c>
      <c r="O199" s="33" t="s">
        <v>288</v>
      </c>
      <c r="P199" s="32">
        <v>18</v>
      </c>
      <c r="Q199" s="33" t="s">
        <v>288</v>
      </c>
      <c r="R199" s="32">
        <v>6</v>
      </c>
      <c r="S199" s="33" t="s">
        <v>288</v>
      </c>
      <c r="T199" s="32"/>
      <c r="U199" s="37" t="s">
        <v>288</v>
      </c>
    </row>
    <row r="200" spans="1:21" ht="14.4" customHeight="1" x14ac:dyDescent="0.25">
      <c r="A200" s="31" t="s">
        <v>197</v>
      </c>
      <c r="B200" s="31" t="s">
        <v>220</v>
      </c>
      <c r="C200" s="31" t="s">
        <v>245</v>
      </c>
      <c r="D200" s="59">
        <v>1</v>
      </c>
      <c r="E200" s="60" t="s">
        <v>281</v>
      </c>
      <c r="F200" s="32">
        <f t="shared" si="227"/>
        <v>20</v>
      </c>
      <c r="G200" s="33" t="s">
        <v>288</v>
      </c>
      <c r="H200" s="32">
        <f t="shared" si="228"/>
        <v>8</v>
      </c>
      <c r="I200" s="33" t="s">
        <v>288</v>
      </c>
      <c r="J200" s="32">
        <v>20</v>
      </c>
      <c r="K200" s="33" t="s">
        <v>288</v>
      </c>
      <c r="L200" s="32">
        <v>8</v>
      </c>
      <c r="M200" s="33" t="s">
        <v>288</v>
      </c>
      <c r="N200" s="32">
        <v>3.5</v>
      </c>
      <c r="O200" s="33" t="s">
        <v>288</v>
      </c>
      <c r="P200" s="32">
        <v>15</v>
      </c>
      <c r="Q200" s="33" t="s">
        <v>288</v>
      </c>
      <c r="R200" s="32">
        <v>4.2</v>
      </c>
      <c r="S200" s="33" t="s">
        <v>288</v>
      </c>
      <c r="T200" s="32"/>
      <c r="U200" s="37" t="s">
        <v>288</v>
      </c>
    </row>
    <row r="201" spans="1:21" ht="14.4" customHeight="1" x14ac:dyDescent="0.25">
      <c r="A201" s="31" t="s">
        <v>198</v>
      </c>
      <c r="B201" s="31" t="s">
        <v>220</v>
      </c>
      <c r="C201" s="31" t="s">
        <v>246</v>
      </c>
      <c r="D201" s="59">
        <v>1</v>
      </c>
      <c r="E201" s="60" t="s">
        <v>281</v>
      </c>
      <c r="F201" s="32">
        <f t="shared" si="227"/>
        <v>30</v>
      </c>
      <c r="G201" s="33" t="s">
        <v>288</v>
      </c>
      <c r="H201" s="32">
        <f t="shared" si="228"/>
        <v>8</v>
      </c>
      <c r="I201" s="33" t="s">
        <v>288</v>
      </c>
      <c r="J201" s="32">
        <v>30</v>
      </c>
      <c r="K201" s="33" t="s">
        <v>288</v>
      </c>
      <c r="L201" s="32">
        <v>8</v>
      </c>
      <c r="M201" s="33" t="s">
        <v>288</v>
      </c>
      <c r="N201" s="32">
        <v>10</v>
      </c>
      <c r="O201" s="33" t="s">
        <v>288</v>
      </c>
      <c r="P201" s="32">
        <v>18</v>
      </c>
      <c r="Q201" s="33" t="s">
        <v>288</v>
      </c>
      <c r="R201" s="32">
        <v>6</v>
      </c>
      <c r="S201" s="33" t="s">
        <v>288</v>
      </c>
      <c r="T201" s="32"/>
      <c r="U201" s="37" t="s">
        <v>288</v>
      </c>
    </row>
    <row r="202" spans="1:21" ht="14.4" customHeight="1" x14ac:dyDescent="0.25">
      <c r="A202" s="31" t="s">
        <v>199</v>
      </c>
      <c r="B202" s="31"/>
      <c r="C202" s="31" t="s">
        <v>247</v>
      </c>
      <c r="D202" s="59">
        <v>5</v>
      </c>
      <c r="E202" s="60" t="s">
        <v>281</v>
      </c>
      <c r="F202" s="32">
        <f t="shared" si="227"/>
        <v>65</v>
      </c>
      <c r="G202" s="33">
        <f t="shared" si="172"/>
        <v>325</v>
      </c>
      <c r="H202" s="32">
        <f t="shared" si="228"/>
        <v>9</v>
      </c>
      <c r="I202" s="33">
        <f>$D202*H202</f>
        <v>45</v>
      </c>
      <c r="J202" s="32">
        <v>65</v>
      </c>
      <c r="K202" s="33">
        <f>$D202*J202</f>
        <v>325</v>
      </c>
      <c r="L202" s="32">
        <v>9</v>
      </c>
      <c r="M202" s="33">
        <f t="shared" ref="M202" si="252">$D202*L202</f>
        <v>45</v>
      </c>
      <c r="N202" s="32">
        <v>20</v>
      </c>
      <c r="O202" s="33">
        <f t="shared" ref="O202" si="253">$D202*N202</f>
        <v>100</v>
      </c>
      <c r="P202" s="32">
        <v>90</v>
      </c>
      <c r="Q202" s="33">
        <f t="shared" ref="Q202" si="254">$D202*P202</f>
        <v>450</v>
      </c>
      <c r="R202" s="32">
        <v>78.8</v>
      </c>
      <c r="S202" s="33">
        <f t="shared" ref="S202" si="255">$D202*R202</f>
        <v>394</v>
      </c>
      <c r="T202" s="32"/>
      <c r="U202" s="33">
        <f t="shared" ref="U202" si="256">$D202*T202</f>
        <v>0</v>
      </c>
    </row>
    <row r="203" spans="1:21" ht="14.4" customHeight="1" x14ac:dyDescent="0.25">
      <c r="A203" s="38" t="s">
        <v>177</v>
      </c>
      <c r="B203" s="38"/>
      <c r="C203" s="38" t="s">
        <v>222</v>
      </c>
      <c r="D203" s="63"/>
      <c r="E203" s="64"/>
      <c r="F203" s="39"/>
      <c r="G203" s="40">
        <f>SUM(G181:G202)</f>
        <v>13208</v>
      </c>
      <c r="H203" s="39"/>
      <c r="I203" s="40">
        <f>SUM(I181:I202)</f>
        <v>14796.5</v>
      </c>
      <c r="J203" s="39"/>
      <c r="K203" s="40">
        <f>SUM(K181:K202)</f>
        <v>13208</v>
      </c>
      <c r="L203" s="39"/>
      <c r="M203" s="40">
        <f>SUM(M181:M202)</f>
        <v>14796.5</v>
      </c>
      <c r="N203" s="39"/>
      <c r="O203" s="40">
        <f>SUM(O181:O202)</f>
        <v>15482.1</v>
      </c>
      <c r="P203" s="39"/>
      <c r="Q203" s="40">
        <f>SUM(Q181:Q202)</f>
        <v>12947.7</v>
      </c>
      <c r="R203" s="39"/>
      <c r="S203" s="40">
        <f>SUM(S181:S202)</f>
        <v>19620.5</v>
      </c>
      <c r="T203" s="39"/>
      <c r="U203" s="40">
        <f>SUM(U181:U202)</f>
        <v>0</v>
      </c>
    </row>
    <row r="204" spans="1:21" ht="14.4" customHeight="1" x14ac:dyDescent="0.25">
      <c r="A204" s="31"/>
      <c r="B204" s="31"/>
      <c r="C204" s="31"/>
      <c r="D204" s="59"/>
      <c r="E204" s="60"/>
      <c r="F204" s="32"/>
      <c r="G204" s="33"/>
      <c r="H204" s="32"/>
      <c r="I204" s="33"/>
      <c r="J204" s="32"/>
      <c r="K204" s="33"/>
      <c r="L204" s="32"/>
      <c r="M204" s="33"/>
      <c r="N204" s="32"/>
      <c r="O204" s="33"/>
      <c r="P204" s="32"/>
      <c r="Q204" s="33"/>
      <c r="R204" s="32"/>
      <c r="S204" s="33"/>
      <c r="T204" s="32"/>
      <c r="U204" s="33"/>
    </row>
    <row r="205" spans="1:21" ht="14.4" customHeight="1" x14ac:dyDescent="0.25">
      <c r="A205" s="31" t="s">
        <v>201</v>
      </c>
      <c r="B205" s="31"/>
      <c r="C205" s="31" t="s">
        <v>249</v>
      </c>
      <c r="D205" s="59">
        <v>28</v>
      </c>
      <c r="E205" s="60" t="s">
        <v>279</v>
      </c>
      <c r="F205" s="32">
        <f t="shared" ref="F205:F217" si="257">J205</f>
        <v>62</v>
      </c>
      <c r="G205" s="33">
        <f t="shared" si="172"/>
        <v>1736</v>
      </c>
      <c r="H205" s="32">
        <f t="shared" ref="H205:H217" si="258">L205</f>
        <v>40</v>
      </c>
      <c r="I205" s="33">
        <f>$D205*H205</f>
        <v>1120</v>
      </c>
      <c r="J205" s="32">
        <v>62</v>
      </c>
      <c r="K205" s="33">
        <f>$D205*J205</f>
        <v>1736</v>
      </c>
      <c r="L205" s="32">
        <v>40</v>
      </c>
      <c r="M205" s="33">
        <f t="shared" ref="M205" si="259">$D205*L205</f>
        <v>1120</v>
      </c>
      <c r="N205" s="32">
        <v>49.9</v>
      </c>
      <c r="O205" s="33">
        <f t="shared" ref="O205" si="260">$D205*N205</f>
        <v>1397.2</v>
      </c>
      <c r="P205" s="32">
        <v>48</v>
      </c>
      <c r="Q205" s="33">
        <f t="shared" ref="Q205" si="261">$D205*P205</f>
        <v>1344</v>
      </c>
      <c r="R205" s="32">
        <v>46.4</v>
      </c>
      <c r="S205" s="33">
        <f t="shared" ref="S205" si="262">$D205*R205</f>
        <v>1299.2</v>
      </c>
      <c r="T205" s="32"/>
      <c r="U205" s="33">
        <f t="shared" ref="U205" si="263">$D205*T205</f>
        <v>0</v>
      </c>
    </row>
    <row r="206" spans="1:21" ht="14.4" customHeight="1" x14ac:dyDescent="0.25">
      <c r="A206" s="31" t="s">
        <v>202</v>
      </c>
      <c r="B206" s="31" t="s">
        <v>220</v>
      </c>
      <c r="C206" s="31" t="s">
        <v>250</v>
      </c>
      <c r="D206" s="59">
        <v>1</v>
      </c>
      <c r="E206" s="60" t="s">
        <v>279</v>
      </c>
      <c r="F206" s="32">
        <f t="shared" si="257"/>
        <v>12</v>
      </c>
      <c r="G206" s="33" t="s">
        <v>288</v>
      </c>
      <c r="H206" s="32">
        <f t="shared" si="258"/>
        <v>9.9</v>
      </c>
      <c r="I206" s="33" t="s">
        <v>288</v>
      </c>
      <c r="J206" s="32">
        <v>12</v>
      </c>
      <c r="K206" s="33" t="s">
        <v>288</v>
      </c>
      <c r="L206" s="32">
        <v>9.9</v>
      </c>
      <c r="M206" s="33" t="s">
        <v>288</v>
      </c>
      <c r="N206" s="32">
        <v>9</v>
      </c>
      <c r="O206" s="33" t="s">
        <v>288</v>
      </c>
      <c r="P206" s="32">
        <v>16</v>
      </c>
      <c r="Q206" s="33" t="s">
        <v>288</v>
      </c>
      <c r="R206" s="32">
        <v>18</v>
      </c>
      <c r="S206" s="33" t="s">
        <v>288</v>
      </c>
      <c r="T206" s="32"/>
      <c r="U206" s="37" t="s">
        <v>288</v>
      </c>
    </row>
    <row r="207" spans="1:21" ht="14.4" customHeight="1" x14ac:dyDescent="0.25">
      <c r="A207" s="31" t="s">
        <v>203</v>
      </c>
      <c r="B207" s="31" t="s">
        <v>220</v>
      </c>
      <c r="C207" s="31" t="s">
        <v>251</v>
      </c>
      <c r="D207" s="59">
        <v>1</v>
      </c>
      <c r="E207" s="60" t="s">
        <v>279</v>
      </c>
      <c r="F207" s="32">
        <f t="shared" si="257"/>
        <v>4</v>
      </c>
      <c r="G207" s="33" t="s">
        <v>288</v>
      </c>
      <c r="H207" s="32">
        <f t="shared" si="258"/>
        <v>2.9</v>
      </c>
      <c r="I207" s="33" t="s">
        <v>288</v>
      </c>
      <c r="J207" s="32">
        <v>4</v>
      </c>
      <c r="K207" s="33" t="s">
        <v>288</v>
      </c>
      <c r="L207" s="32">
        <v>2.9</v>
      </c>
      <c r="M207" s="33" t="s">
        <v>288</v>
      </c>
      <c r="N207" s="32">
        <v>2.2999999999999998</v>
      </c>
      <c r="O207" s="33" t="s">
        <v>288</v>
      </c>
      <c r="P207" s="32">
        <v>4.2</v>
      </c>
      <c r="Q207" s="33" t="s">
        <v>288</v>
      </c>
      <c r="R207" s="32">
        <v>3.6</v>
      </c>
      <c r="S207" s="33" t="s">
        <v>288</v>
      </c>
      <c r="T207" s="32"/>
      <c r="U207" s="37" t="s">
        <v>288</v>
      </c>
    </row>
    <row r="208" spans="1:21" ht="14.4" customHeight="1" x14ac:dyDescent="0.25">
      <c r="A208" s="31" t="s">
        <v>204</v>
      </c>
      <c r="B208" s="31" t="s">
        <v>220</v>
      </c>
      <c r="C208" s="31" t="s">
        <v>252</v>
      </c>
      <c r="D208" s="59">
        <v>1</v>
      </c>
      <c r="E208" s="60" t="s">
        <v>279</v>
      </c>
      <c r="F208" s="32">
        <f t="shared" si="257"/>
        <v>8</v>
      </c>
      <c r="G208" s="33" t="s">
        <v>288</v>
      </c>
      <c r="H208" s="32">
        <f t="shared" si="258"/>
        <v>5.8</v>
      </c>
      <c r="I208" s="33" t="s">
        <v>288</v>
      </c>
      <c r="J208" s="32">
        <v>8</v>
      </c>
      <c r="K208" s="33" t="s">
        <v>288</v>
      </c>
      <c r="L208" s="32">
        <v>5.8</v>
      </c>
      <c r="M208" s="33" t="s">
        <v>288</v>
      </c>
      <c r="N208" s="32">
        <v>4.5999999999999996</v>
      </c>
      <c r="O208" s="33" t="s">
        <v>288</v>
      </c>
      <c r="P208" s="32">
        <v>8.4</v>
      </c>
      <c r="Q208" s="33" t="s">
        <v>288</v>
      </c>
      <c r="R208" s="32">
        <v>7.2</v>
      </c>
      <c r="S208" s="33" t="s">
        <v>288</v>
      </c>
      <c r="T208" s="32"/>
      <c r="U208" s="37" t="s">
        <v>288</v>
      </c>
    </row>
    <row r="209" spans="1:21" ht="14.4" customHeight="1" x14ac:dyDescent="0.25">
      <c r="A209" s="31" t="s">
        <v>205</v>
      </c>
      <c r="B209" s="31" t="s">
        <v>220</v>
      </c>
      <c r="C209" s="31" t="s">
        <v>253</v>
      </c>
      <c r="D209" s="59">
        <v>1</v>
      </c>
      <c r="E209" s="60" t="s">
        <v>279</v>
      </c>
      <c r="F209" s="32">
        <f t="shared" si="257"/>
        <v>6.95</v>
      </c>
      <c r="G209" s="33" t="s">
        <v>288</v>
      </c>
      <c r="H209" s="32">
        <f t="shared" si="258"/>
        <v>3.9</v>
      </c>
      <c r="I209" s="33" t="s">
        <v>288</v>
      </c>
      <c r="J209" s="32">
        <v>6.95</v>
      </c>
      <c r="K209" s="33" t="s">
        <v>288</v>
      </c>
      <c r="L209" s="32">
        <v>3.9</v>
      </c>
      <c r="M209" s="33" t="s">
        <v>288</v>
      </c>
      <c r="N209" s="32">
        <v>5</v>
      </c>
      <c r="O209" s="33" t="s">
        <v>288</v>
      </c>
      <c r="P209" s="32">
        <v>8.8000000000000007</v>
      </c>
      <c r="Q209" s="33" t="s">
        <v>288</v>
      </c>
      <c r="R209" s="32">
        <v>8.6</v>
      </c>
      <c r="S209" s="33" t="s">
        <v>288</v>
      </c>
      <c r="T209" s="32"/>
      <c r="U209" s="37" t="s">
        <v>288</v>
      </c>
    </row>
    <row r="210" spans="1:21" ht="14.4" customHeight="1" x14ac:dyDescent="0.25">
      <c r="A210" s="31" t="s">
        <v>206</v>
      </c>
      <c r="B210" s="31"/>
      <c r="C210" s="31" t="s">
        <v>254</v>
      </c>
      <c r="D210" s="59">
        <v>5</v>
      </c>
      <c r="E210" s="60" t="s">
        <v>280</v>
      </c>
      <c r="F210" s="32">
        <f t="shared" si="257"/>
        <v>15</v>
      </c>
      <c r="G210" s="33">
        <f t="shared" si="172"/>
        <v>75</v>
      </c>
      <c r="H210" s="32">
        <f t="shared" si="258"/>
        <v>6.9</v>
      </c>
      <c r="I210" s="33">
        <f>$D210*H210</f>
        <v>34.5</v>
      </c>
      <c r="J210" s="32">
        <v>15</v>
      </c>
      <c r="K210" s="33">
        <f>$D210*J210</f>
        <v>75</v>
      </c>
      <c r="L210" s="32">
        <v>6.9</v>
      </c>
      <c r="M210" s="33">
        <f t="shared" ref="M210:M215" si="264">$D210*L210</f>
        <v>34.5</v>
      </c>
      <c r="N210" s="32">
        <v>10.5</v>
      </c>
      <c r="O210" s="33">
        <f t="shared" ref="O210" si="265">$D210*N210</f>
        <v>52.5</v>
      </c>
      <c r="P210" s="32">
        <v>6.9</v>
      </c>
      <c r="Q210" s="33">
        <f t="shared" ref="Q210:Q215" si="266">$D210*P210</f>
        <v>34.5</v>
      </c>
      <c r="R210" s="32">
        <v>13.5</v>
      </c>
      <c r="S210" s="33">
        <f t="shared" ref="S210" si="267">$D210*R210</f>
        <v>67.5</v>
      </c>
      <c r="T210" s="32"/>
      <c r="U210" s="33">
        <f t="shared" ref="U210" si="268">$D210*T210</f>
        <v>0</v>
      </c>
    </row>
    <row r="211" spans="1:21" ht="14.4" customHeight="1" x14ac:dyDescent="0.25">
      <c r="A211" s="31" t="s">
        <v>207</v>
      </c>
      <c r="B211" s="31"/>
      <c r="C211" s="31" t="s">
        <v>255</v>
      </c>
      <c r="D211" s="59">
        <v>5</v>
      </c>
      <c r="E211" s="60" t="s">
        <v>280</v>
      </c>
      <c r="F211" s="32">
        <f t="shared" si="257"/>
        <v>6.5</v>
      </c>
      <c r="G211" s="33">
        <f t="shared" si="172"/>
        <v>32.5</v>
      </c>
      <c r="H211" s="32">
        <f t="shared" si="258"/>
        <v>4.5</v>
      </c>
      <c r="I211" s="33">
        <f>$D211*H211</f>
        <v>22.5</v>
      </c>
      <c r="J211" s="32">
        <v>6.5</v>
      </c>
      <c r="K211" s="33">
        <f>$D211*J211</f>
        <v>32.5</v>
      </c>
      <c r="L211" s="32">
        <v>4.5</v>
      </c>
      <c r="M211" s="33">
        <f t="shared" si="264"/>
        <v>22.5</v>
      </c>
      <c r="N211" s="32">
        <v>4</v>
      </c>
      <c r="O211" s="33">
        <f t="shared" ref="O211" si="269">$D211*N211</f>
        <v>20</v>
      </c>
      <c r="P211" s="32">
        <v>6.5</v>
      </c>
      <c r="Q211" s="33">
        <f t="shared" si="266"/>
        <v>32.5</v>
      </c>
      <c r="R211" s="32">
        <v>9.3000000000000007</v>
      </c>
      <c r="S211" s="33">
        <f t="shared" ref="S211" si="270">$D211*R211</f>
        <v>46.5</v>
      </c>
      <c r="T211" s="32"/>
      <c r="U211" s="33">
        <f t="shared" ref="U211" si="271">$D211*T211</f>
        <v>0</v>
      </c>
    </row>
    <row r="212" spans="1:21" ht="14.4" customHeight="1" x14ac:dyDescent="0.25">
      <c r="A212" s="31" t="s">
        <v>208</v>
      </c>
      <c r="B212" s="31"/>
      <c r="C212" s="31" t="s">
        <v>256</v>
      </c>
      <c r="D212" s="59">
        <v>10</v>
      </c>
      <c r="E212" s="60" t="s">
        <v>281</v>
      </c>
      <c r="F212" s="32">
        <f t="shared" si="257"/>
        <v>10</v>
      </c>
      <c r="G212" s="33">
        <f t="shared" si="172"/>
        <v>100</v>
      </c>
      <c r="H212" s="32">
        <f t="shared" si="258"/>
        <v>9.5</v>
      </c>
      <c r="I212" s="33">
        <f>$D212*H212</f>
        <v>95</v>
      </c>
      <c r="J212" s="32">
        <v>10</v>
      </c>
      <c r="K212" s="33">
        <f>$D212*J212</f>
        <v>100</v>
      </c>
      <c r="L212" s="32">
        <v>9.5</v>
      </c>
      <c r="M212" s="33">
        <f t="shared" si="264"/>
        <v>95</v>
      </c>
      <c r="N212" s="32">
        <v>25</v>
      </c>
      <c r="O212" s="33">
        <f t="shared" ref="O212" si="272">$D212*N212</f>
        <v>250</v>
      </c>
      <c r="P212" s="32">
        <v>25</v>
      </c>
      <c r="Q212" s="33">
        <f t="shared" si="266"/>
        <v>250</v>
      </c>
      <c r="R212" s="32">
        <v>15.8</v>
      </c>
      <c r="S212" s="33">
        <f t="shared" ref="S212" si="273">$D212*R212</f>
        <v>158</v>
      </c>
      <c r="T212" s="32"/>
      <c r="U212" s="33">
        <f t="shared" ref="U212" si="274">$D212*T212</f>
        <v>0</v>
      </c>
    </row>
    <row r="213" spans="1:21" ht="14.4" customHeight="1" x14ac:dyDescent="0.25">
      <c r="A213" s="31" t="s">
        <v>209</v>
      </c>
      <c r="B213" s="31"/>
      <c r="C213" s="31" t="s">
        <v>257</v>
      </c>
      <c r="D213" s="59">
        <v>10</v>
      </c>
      <c r="E213" s="60" t="s">
        <v>281</v>
      </c>
      <c r="F213" s="32">
        <f t="shared" si="257"/>
        <v>20</v>
      </c>
      <c r="G213" s="33">
        <f t="shared" si="172"/>
        <v>200</v>
      </c>
      <c r="H213" s="32">
        <f t="shared" si="258"/>
        <v>8</v>
      </c>
      <c r="I213" s="33">
        <f>$D213*H213</f>
        <v>80</v>
      </c>
      <c r="J213" s="32">
        <v>20</v>
      </c>
      <c r="K213" s="33">
        <f>$D213*J213</f>
        <v>200</v>
      </c>
      <c r="L213" s="32">
        <v>8</v>
      </c>
      <c r="M213" s="33">
        <f t="shared" si="264"/>
        <v>80</v>
      </c>
      <c r="N213" s="32">
        <v>25</v>
      </c>
      <c r="O213" s="33">
        <f t="shared" ref="O213" si="275">$D213*N213</f>
        <v>250</v>
      </c>
      <c r="P213" s="32">
        <v>15</v>
      </c>
      <c r="Q213" s="33">
        <f t="shared" si="266"/>
        <v>150</v>
      </c>
      <c r="R213" s="32">
        <v>15.8</v>
      </c>
      <c r="S213" s="33">
        <f t="shared" ref="S213" si="276">$D213*R213</f>
        <v>158</v>
      </c>
      <c r="T213" s="32"/>
      <c r="U213" s="33">
        <f t="shared" ref="U213" si="277">$D213*T213</f>
        <v>0</v>
      </c>
    </row>
    <row r="214" spans="1:21" ht="14.4" customHeight="1" x14ac:dyDescent="0.25">
      <c r="A214" s="31" t="s">
        <v>210</v>
      </c>
      <c r="B214" s="31"/>
      <c r="C214" s="31" t="s">
        <v>258</v>
      </c>
      <c r="D214" s="59">
        <v>5</v>
      </c>
      <c r="E214" s="60" t="s">
        <v>281</v>
      </c>
      <c r="F214" s="32">
        <f t="shared" si="257"/>
        <v>65</v>
      </c>
      <c r="G214" s="33">
        <f t="shared" si="172"/>
        <v>325</v>
      </c>
      <c r="H214" s="32">
        <f t="shared" si="258"/>
        <v>64</v>
      </c>
      <c r="I214" s="33">
        <f>$D214*H214</f>
        <v>320</v>
      </c>
      <c r="J214" s="32">
        <v>65</v>
      </c>
      <c r="K214" s="33">
        <f>$D214*J214</f>
        <v>325</v>
      </c>
      <c r="L214" s="32">
        <v>64</v>
      </c>
      <c r="M214" s="33">
        <f t="shared" si="264"/>
        <v>320</v>
      </c>
      <c r="N214" s="32">
        <v>88</v>
      </c>
      <c r="O214" s="33">
        <f t="shared" ref="O214" si="278">$D214*N214</f>
        <v>440</v>
      </c>
      <c r="P214" s="32">
        <v>55</v>
      </c>
      <c r="Q214" s="33">
        <f t="shared" si="266"/>
        <v>275</v>
      </c>
      <c r="R214" s="32">
        <v>79.5</v>
      </c>
      <c r="S214" s="33">
        <f t="shared" ref="S214" si="279">$D214*R214</f>
        <v>397.5</v>
      </c>
      <c r="T214" s="32"/>
      <c r="U214" s="33">
        <f t="shared" ref="U214" si="280">$D214*T214</f>
        <v>0</v>
      </c>
    </row>
    <row r="215" spans="1:21" ht="14.4" customHeight="1" x14ac:dyDescent="0.25">
      <c r="A215" s="31" t="s">
        <v>211</v>
      </c>
      <c r="B215" s="31"/>
      <c r="C215" s="31" t="s">
        <v>259</v>
      </c>
      <c r="D215" s="59">
        <v>5</v>
      </c>
      <c r="E215" s="60" t="s">
        <v>281</v>
      </c>
      <c r="F215" s="32">
        <f t="shared" si="257"/>
        <v>80</v>
      </c>
      <c r="G215" s="33">
        <f t="shared" si="172"/>
        <v>400</v>
      </c>
      <c r="H215" s="32">
        <f t="shared" si="258"/>
        <v>77</v>
      </c>
      <c r="I215" s="33">
        <f>$D215*H215</f>
        <v>385</v>
      </c>
      <c r="J215" s="32">
        <v>80</v>
      </c>
      <c r="K215" s="33">
        <f>$D215*J215</f>
        <v>400</v>
      </c>
      <c r="L215" s="32">
        <v>77</v>
      </c>
      <c r="M215" s="33">
        <f t="shared" si="264"/>
        <v>385</v>
      </c>
      <c r="N215" s="32">
        <v>125</v>
      </c>
      <c r="O215" s="33">
        <f t="shared" ref="O215" si="281">$D215*N215</f>
        <v>625</v>
      </c>
      <c r="P215" s="32">
        <v>65</v>
      </c>
      <c r="Q215" s="33">
        <f t="shared" si="266"/>
        <v>325</v>
      </c>
      <c r="R215" s="32">
        <v>105.7</v>
      </c>
      <c r="S215" s="33">
        <f t="shared" ref="S215" si="282">$D215*R215</f>
        <v>528.5</v>
      </c>
      <c r="T215" s="32"/>
      <c r="U215" s="33">
        <f t="shared" ref="U215" si="283">$D215*T215</f>
        <v>0</v>
      </c>
    </row>
    <row r="216" spans="1:21" ht="14.4" customHeight="1" x14ac:dyDescent="0.25">
      <c r="A216" s="31" t="s">
        <v>212</v>
      </c>
      <c r="B216" s="31" t="s">
        <v>220</v>
      </c>
      <c r="C216" s="31" t="s">
        <v>260</v>
      </c>
      <c r="D216" s="59">
        <v>1</v>
      </c>
      <c r="E216" s="60" t="s">
        <v>281</v>
      </c>
      <c r="F216" s="32">
        <f t="shared" si="257"/>
        <v>170</v>
      </c>
      <c r="G216" s="33" t="s">
        <v>288</v>
      </c>
      <c r="H216" s="32">
        <f t="shared" si="258"/>
        <v>190</v>
      </c>
      <c r="I216" s="33" t="s">
        <v>288</v>
      </c>
      <c r="J216" s="32">
        <v>170</v>
      </c>
      <c r="K216" s="33" t="s">
        <v>288</v>
      </c>
      <c r="L216" s="32">
        <v>190</v>
      </c>
      <c r="M216" s="33" t="s">
        <v>288</v>
      </c>
      <c r="N216" s="32">
        <v>239.95</v>
      </c>
      <c r="O216" s="33" t="s">
        <v>288</v>
      </c>
      <c r="P216" s="32">
        <v>280</v>
      </c>
      <c r="Q216" s="33" t="s">
        <v>288</v>
      </c>
      <c r="R216" s="32">
        <v>399</v>
      </c>
      <c r="S216" s="33" t="s">
        <v>288</v>
      </c>
      <c r="T216" s="32"/>
      <c r="U216" s="37" t="s">
        <v>288</v>
      </c>
    </row>
    <row r="217" spans="1:21" ht="14.4" customHeight="1" x14ac:dyDescent="0.25">
      <c r="A217" s="31" t="s">
        <v>213</v>
      </c>
      <c r="B217" s="31" t="s">
        <v>220</v>
      </c>
      <c r="C217" s="31" t="s">
        <v>261</v>
      </c>
      <c r="D217" s="59">
        <v>1</v>
      </c>
      <c r="E217" s="60" t="s">
        <v>281</v>
      </c>
      <c r="F217" s="32">
        <f t="shared" si="257"/>
        <v>200</v>
      </c>
      <c r="G217" s="33" t="s">
        <v>288</v>
      </c>
      <c r="H217" s="32">
        <f t="shared" si="258"/>
        <v>240</v>
      </c>
      <c r="I217" s="33" t="s">
        <v>288</v>
      </c>
      <c r="J217" s="32">
        <v>200</v>
      </c>
      <c r="K217" s="33" t="s">
        <v>288</v>
      </c>
      <c r="L217" s="32">
        <v>240</v>
      </c>
      <c r="M217" s="33" t="s">
        <v>288</v>
      </c>
      <c r="N217" s="32">
        <v>281.95</v>
      </c>
      <c r="O217" s="33" t="s">
        <v>288</v>
      </c>
      <c r="P217" s="32">
        <v>350</v>
      </c>
      <c r="Q217" s="33" t="s">
        <v>288</v>
      </c>
      <c r="R217" s="32">
        <v>450.2</v>
      </c>
      <c r="S217" s="33" t="s">
        <v>288</v>
      </c>
      <c r="T217" s="32"/>
      <c r="U217" s="37" t="s">
        <v>288</v>
      </c>
    </row>
    <row r="218" spans="1:21" ht="14.4" customHeight="1" x14ac:dyDescent="0.25">
      <c r="A218" s="38" t="s">
        <v>200</v>
      </c>
      <c r="B218" s="38"/>
      <c r="C218" s="38" t="s">
        <v>248</v>
      </c>
      <c r="D218" s="63"/>
      <c r="E218" s="64"/>
      <c r="F218" s="39"/>
      <c r="G218" s="40">
        <f>SUM(G205:G217)</f>
        <v>2868.5</v>
      </c>
      <c r="H218" s="39"/>
      <c r="I218" s="40">
        <f>SUM(I205:I217)</f>
        <v>2057</v>
      </c>
      <c r="J218" s="39"/>
      <c r="K218" s="40">
        <f>SUM(K205:K217)</f>
        <v>2868.5</v>
      </c>
      <c r="L218" s="39"/>
      <c r="M218" s="40">
        <f>SUM(M205:M217)</f>
        <v>2057</v>
      </c>
      <c r="N218" s="39"/>
      <c r="O218" s="40">
        <f>SUM(O205:O217)</f>
        <v>3034.7</v>
      </c>
      <c r="P218" s="39"/>
      <c r="Q218" s="40">
        <f>SUM(Q205:Q217)</f>
        <v>2411</v>
      </c>
      <c r="R218" s="39"/>
      <c r="S218" s="40">
        <f>SUM(S205:S217)</f>
        <v>2655.2</v>
      </c>
      <c r="T218" s="39"/>
      <c r="U218" s="40">
        <f>SUM(U205:U217)</f>
        <v>0</v>
      </c>
    </row>
    <row r="219" spans="1:21" ht="14.4" customHeight="1" x14ac:dyDescent="0.25">
      <c r="A219" s="31"/>
      <c r="B219" s="31"/>
      <c r="C219" s="31"/>
      <c r="D219" s="59"/>
      <c r="E219" s="60"/>
      <c r="F219" s="32"/>
      <c r="G219" s="33"/>
      <c r="H219" s="32"/>
      <c r="I219" s="33"/>
      <c r="J219" s="32"/>
      <c r="K219" s="33"/>
      <c r="L219" s="32"/>
      <c r="M219" s="33"/>
      <c r="N219" s="32"/>
      <c r="O219" s="33"/>
      <c r="P219" s="32"/>
      <c r="Q219" s="33"/>
      <c r="R219" s="32"/>
      <c r="S219" s="33"/>
      <c r="T219" s="32"/>
      <c r="U219" s="33"/>
    </row>
    <row r="220" spans="1:21" ht="14.4" customHeight="1" x14ac:dyDescent="0.25">
      <c r="A220" s="31" t="s">
        <v>215</v>
      </c>
      <c r="B220" s="31"/>
      <c r="C220" s="31" t="s">
        <v>263</v>
      </c>
      <c r="D220" s="59">
        <v>128</v>
      </c>
      <c r="E220" s="60" t="s">
        <v>279</v>
      </c>
      <c r="F220" s="32">
        <f t="shared" ref="F220:F224" si="284">J220</f>
        <v>75</v>
      </c>
      <c r="G220" s="33">
        <f t="shared" ref="G220:G224" si="285">$D220*F220</f>
        <v>9600</v>
      </c>
      <c r="H220" s="32">
        <f t="shared" ref="H220:H224" si="286">L220</f>
        <v>62</v>
      </c>
      <c r="I220" s="33">
        <f>$D220*H220</f>
        <v>7936</v>
      </c>
      <c r="J220" s="32">
        <v>75</v>
      </c>
      <c r="K220" s="33">
        <f>$D220*J220</f>
        <v>9600</v>
      </c>
      <c r="L220" s="32">
        <v>62</v>
      </c>
      <c r="M220" s="33">
        <f t="shared" ref="M220:M224" si="287">$D220*L220</f>
        <v>7936</v>
      </c>
      <c r="N220" s="32">
        <v>102.25</v>
      </c>
      <c r="O220" s="33">
        <f t="shared" ref="O220" si="288">$D220*N220</f>
        <v>13088</v>
      </c>
      <c r="P220" s="32">
        <v>131.5</v>
      </c>
      <c r="Q220" s="33">
        <f t="shared" ref="Q220:Q224" si="289">$D220*P220</f>
        <v>16832</v>
      </c>
      <c r="R220" s="32">
        <v>93.6</v>
      </c>
      <c r="S220" s="33">
        <f t="shared" ref="S220" si="290">$D220*R220</f>
        <v>11980.8</v>
      </c>
      <c r="T220" s="32"/>
      <c r="U220" s="33">
        <f t="shared" ref="U220" si="291">$D220*T220</f>
        <v>0</v>
      </c>
    </row>
    <row r="221" spans="1:21" ht="14.4" customHeight="1" x14ac:dyDescent="0.25">
      <c r="A221" s="31" t="s">
        <v>216</v>
      </c>
      <c r="B221" s="31"/>
      <c r="C221" s="31" t="s">
        <v>264</v>
      </c>
      <c r="D221" s="59">
        <v>10</v>
      </c>
      <c r="E221" s="60" t="s">
        <v>280</v>
      </c>
      <c r="F221" s="32">
        <f t="shared" si="284"/>
        <v>22</v>
      </c>
      <c r="G221" s="33">
        <f t="shared" si="285"/>
        <v>220</v>
      </c>
      <c r="H221" s="32">
        <f t="shared" si="286"/>
        <v>9</v>
      </c>
      <c r="I221" s="33">
        <f>$D221*H221</f>
        <v>90</v>
      </c>
      <c r="J221" s="32">
        <v>22</v>
      </c>
      <c r="K221" s="33">
        <f>$D221*J221</f>
        <v>220</v>
      </c>
      <c r="L221" s="32">
        <v>9</v>
      </c>
      <c r="M221" s="33">
        <f t="shared" si="287"/>
        <v>90</v>
      </c>
      <c r="N221" s="32">
        <v>10.9</v>
      </c>
      <c r="O221" s="33">
        <f t="shared" ref="O221" si="292">$D221*N221</f>
        <v>109</v>
      </c>
      <c r="P221" s="32">
        <v>26.2</v>
      </c>
      <c r="Q221" s="33">
        <f t="shared" si="289"/>
        <v>262</v>
      </c>
      <c r="R221" s="32">
        <v>22</v>
      </c>
      <c r="S221" s="33">
        <f t="shared" ref="S221" si="293">$D221*R221</f>
        <v>220</v>
      </c>
      <c r="T221" s="32"/>
      <c r="U221" s="33">
        <f t="shared" ref="U221" si="294">$D221*T221</f>
        <v>0</v>
      </c>
    </row>
    <row r="222" spans="1:21" ht="14.4" customHeight="1" x14ac:dyDescent="0.25">
      <c r="A222" s="31" t="s">
        <v>217</v>
      </c>
      <c r="B222" s="31"/>
      <c r="C222" s="31" t="s">
        <v>265</v>
      </c>
      <c r="D222" s="59">
        <v>87</v>
      </c>
      <c r="E222" s="60" t="s">
        <v>280</v>
      </c>
      <c r="F222" s="32">
        <f t="shared" si="284"/>
        <v>28</v>
      </c>
      <c r="G222" s="33">
        <f t="shared" si="285"/>
        <v>2436</v>
      </c>
      <c r="H222" s="32">
        <f t="shared" si="286"/>
        <v>67</v>
      </c>
      <c r="I222" s="33">
        <f>$D222*H222</f>
        <v>5829</v>
      </c>
      <c r="J222" s="32">
        <v>28</v>
      </c>
      <c r="K222" s="33">
        <f>$D222*J222</f>
        <v>2436</v>
      </c>
      <c r="L222" s="32">
        <v>67</v>
      </c>
      <c r="M222" s="33">
        <f t="shared" si="287"/>
        <v>5829</v>
      </c>
      <c r="N222" s="32">
        <v>36</v>
      </c>
      <c r="O222" s="33">
        <f t="shared" ref="O222" si="295">$D222*N222</f>
        <v>3132</v>
      </c>
      <c r="P222" s="32">
        <v>35</v>
      </c>
      <c r="Q222" s="33">
        <f t="shared" si="289"/>
        <v>3045</v>
      </c>
      <c r="R222" s="32">
        <v>22</v>
      </c>
      <c r="S222" s="33">
        <f t="shared" ref="S222" si="296">$D222*R222</f>
        <v>1914</v>
      </c>
      <c r="T222" s="32"/>
      <c r="U222" s="33">
        <f t="shared" ref="U222" si="297">$D222*T222</f>
        <v>0</v>
      </c>
    </row>
    <row r="223" spans="1:21" ht="14.4" customHeight="1" x14ac:dyDescent="0.25">
      <c r="A223" s="31" t="s">
        <v>218</v>
      </c>
      <c r="B223" s="31"/>
      <c r="C223" s="31" t="s">
        <v>266</v>
      </c>
      <c r="D223" s="59">
        <v>5</v>
      </c>
      <c r="E223" s="60" t="s">
        <v>281</v>
      </c>
      <c r="F223" s="32">
        <f t="shared" si="284"/>
        <v>15</v>
      </c>
      <c r="G223" s="33">
        <f t="shared" si="285"/>
        <v>75</v>
      </c>
      <c r="H223" s="32">
        <f t="shared" si="286"/>
        <v>9</v>
      </c>
      <c r="I223" s="33">
        <f>$D223*H223</f>
        <v>45</v>
      </c>
      <c r="J223" s="32">
        <v>15</v>
      </c>
      <c r="K223" s="33">
        <f>$D223*J223</f>
        <v>75</v>
      </c>
      <c r="L223" s="32">
        <v>9</v>
      </c>
      <c r="M223" s="33">
        <f t="shared" si="287"/>
        <v>45</v>
      </c>
      <c r="N223" s="32">
        <v>25</v>
      </c>
      <c r="O223" s="33">
        <f t="shared" ref="O223" si="298">$D223*N223</f>
        <v>125</v>
      </c>
      <c r="P223" s="32">
        <v>26</v>
      </c>
      <c r="Q223" s="33">
        <f t="shared" si="289"/>
        <v>130</v>
      </c>
      <c r="R223" s="32">
        <v>92.6</v>
      </c>
      <c r="S223" s="33">
        <f t="shared" ref="S223" si="299">$D223*R223</f>
        <v>463</v>
      </c>
      <c r="T223" s="32"/>
      <c r="U223" s="33">
        <f t="shared" ref="U223" si="300">$D223*T223</f>
        <v>0</v>
      </c>
    </row>
    <row r="224" spans="1:21" ht="14.4" customHeight="1" x14ac:dyDescent="0.25">
      <c r="A224" s="31" t="s">
        <v>219</v>
      </c>
      <c r="B224" s="31"/>
      <c r="C224" s="31" t="s">
        <v>267</v>
      </c>
      <c r="D224" s="59">
        <v>5</v>
      </c>
      <c r="E224" s="60" t="s">
        <v>281</v>
      </c>
      <c r="F224" s="32">
        <f t="shared" si="284"/>
        <v>30</v>
      </c>
      <c r="G224" s="33">
        <f t="shared" si="285"/>
        <v>150</v>
      </c>
      <c r="H224" s="32">
        <f t="shared" si="286"/>
        <v>12</v>
      </c>
      <c r="I224" s="33">
        <f>$D224*H224</f>
        <v>60</v>
      </c>
      <c r="J224" s="32">
        <v>30</v>
      </c>
      <c r="K224" s="33">
        <f>$D224*J224</f>
        <v>150</v>
      </c>
      <c r="L224" s="32">
        <v>12</v>
      </c>
      <c r="M224" s="33">
        <f t="shared" si="287"/>
        <v>60</v>
      </c>
      <c r="N224" s="32">
        <v>25</v>
      </c>
      <c r="O224" s="33">
        <f t="shared" ref="O224" si="301">$D224*N224</f>
        <v>125</v>
      </c>
      <c r="P224" s="32">
        <v>35</v>
      </c>
      <c r="Q224" s="33">
        <f t="shared" si="289"/>
        <v>175</v>
      </c>
      <c r="R224" s="32">
        <v>77.099999999999994</v>
      </c>
      <c r="S224" s="33">
        <f t="shared" ref="S224" si="302">$D224*R224</f>
        <v>385.5</v>
      </c>
      <c r="T224" s="32"/>
      <c r="U224" s="33">
        <f t="shared" ref="U224" si="303">$D224*T224</f>
        <v>0</v>
      </c>
    </row>
    <row r="225" spans="1:21" ht="14.4" customHeight="1" x14ac:dyDescent="0.25">
      <c r="A225" s="38" t="s">
        <v>214</v>
      </c>
      <c r="B225" s="38"/>
      <c r="C225" s="38" t="s">
        <v>262</v>
      </c>
      <c r="D225" s="63"/>
      <c r="E225" s="64"/>
      <c r="F225" s="39"/>
      <c r="G225" s="40">
        <f>SUM(G220:G224)</f>
        <v>12481</v>
      </c>
      <c r="H225" s="39"/>
      <c r="I225" s="40">
        <f>SUM(I220:I224)</f>
        <v>13960</v>
      </c>
      <c r="J225" s="39"/>
      <c r="K225" s="40">
        <f>SUM(K220:K224)</f>
        <v>12481</v>
      </c>
      <c r="L225" s="39"/>
      <c r="M225" s="40">
        <f>SUM(M220:M224)</f>
        <v>13960</v>
      </c>
      <c r="N225" s="39"/>
      <c r="O225" s="40">
        <f>SUM(O220:O224)</f>
        <v>16579</v>
      </c>
      <c r="P225" s="39"/>
      <c r="Q225" s="40">
        <f>SUM(Q220:Q224)</f>
        <v>20444</v>
      </c>
      <c r="R225" s="39"/>
      <c r="S225" s="40">
        <f>SUM(S220:S224)</f>
        <v>14963.3</v>
      </c>
      <c r="T225" s="39"/>
      <c r="U225" s="40">
        <f>SUM(U220:U224)</f>
        <v>0</v>
      </c>
    </row>
    <row r="226" spans="1:21" ht="14.4" customHeight="1" x14ac:dyDescent="0.3">
      <c r="A226" s="31"/>
      <c r="B226" s="31"/>
      <c r="C226" s="31"/>
      <c r="D226" s="59"/>
      <c r="E226" s="60"/>
      <c r="F226" s="73"/>
      <c r="G226" s="33"/>
      <c r="H226" s="32"/>
      <c r="I226" s="33"/>
      <c r="J226" s="73"/>
      <c r="K226" s="33"/>
      <c r="L226" s="32"/>
      <c r="M226" s="33"/>
      <c r="N226" s="32"/>
      <c r="O226" s="33"/>
      <c r="P226" s="32"/>
      <c r="Q226" s="33"/>
      <c r="R226" s="32"/>
      <c r="S226" s="33"/>
      <c r="T226" s="32"/>
      <c r="U226" s="33"/>
    </row>
    <row r="227" spans="1:21" s="43" customFormat="1" ht="14.4" customHeight="1" x14ac:dyDescent="0.25">
      <c r="A227" s="41"/>
      <c r="B227" s="41"/>
      <c r="C227" s="42" t="s">
        <v>287</v>
      </c>
      <c r="D227" s="61"/>
      <c r="E227" s="62"/>
      <c r="F227" s="74"/>
      <c r="G227" s="36"/>
      <c r="H227" s="35"/>
      <c r="I227" s="36"/>
      <c r="J227" s="74"/>
      <c r="K227" s="36"/>
      <c r="L227" s="35"/>
      <c r="M227" s="36"/>
      <c r="N227" s="35"/>
      <c r="O227" s="36"/>
      <c r="P227" s="35"/>
      <c r="Q227" s="36"/>
      <c r="R227" s="35"/>
      <c r="S227" s="36"/>
      <c r="T227" s="35"/>
      <c r="U227" s="36"/>
    </row>
    <row r="228" spans="1:21" ht="14.4" customHeight="1" x14ac:dyDescent="0.3">
      <c r="A228" s="31" t="str">
        <f>A37</f>
        <v>01.01.01.</v>
      </c>
      <c r="B228" s="31"/>
      <c r="C228" s="31" t="str">
        <f>C37</f>
        <v>Trockenbauarbeiten - Wände</v>
      </c>
      <c r="D228" s="59"/>
      <c r="E228" s="60"/>
      <c r="F228" s="73"/>
      <c r="G228" s="33">
        <f>G37</f>
        <v>88750</v>
      </c>
      <c r="H228" s="73"/>
      <c r="I228" s="33">
        <f t="shared" ref="I228" si="304">I37</f>
        <v>97616.5</v>
      </c>
      <c r="J228" s="73"/>
      <c r="K228" s="33">
        <f>K37</f>
        <v>88750</v>
      </c>
      <c r="L228" s="73"/>
      <c r="M228" s="33">
        <f t="shared" ref="M228" si="305">M37</f>
        <v>97616.5</v>
      </c>
      <c r="N228" s="73"/>
      <c r="O228" s="33">
        <f t="shared" ref="O228" si="306">O37</f>
        <v>111418.5</v>
      </c>
      <c r="P228" s="73"/>
      <c r="Q228" s="33">
        <f t="shared" ref="Q228" si="307">Q37</f>
        <v>120963.95</v>
      </c>
      <c r="R228" s="73"/>
      <c r="S228" s="33">
        <f t="shared" ref="S228" si="308">S37</f>
        <v>114547.19999999998</v>
      </c>
      <c r="T228" s="73"/>
      <c r="U228" s="33">
        <f t="shared" ref="U228" si="309">U37</f>
        <v>0</v>
      </c>
    </row>
    <row r="229" spans="1:21" ht="14.4" customHeight="1" x14ac:dyDescent="0.3">
      <c r="A229" s="31" t="str">
        <f>A52</f>
        <v>01.02.01.</v>
      </c>
      <c r="B229" s="31"/>
      <c r="C229" s="31" t="str">
        <f>C52</f>
        <v>Trockenbauarbeiten - GK-Decke</v>
      </c>
      <c r="D229" s="59"/>
      <c r="E229" s="60"/>
      <c r="F229" s="73"/>
      <c r="G229" s="33">
        <f>G52</f>
        <v>1827</v>
      </c>
      <c r="H229" s="73"/>
      <c r="I229" s="33">
        <f t="shared" ref="I229" si="310">I52</f>
        <v>1378</v>
      </c>
      <c r="J229" s="73"/>
      <c r="K229" s="33">
        <f>K52</f>
        <v>1827</v>
      </c>
      <c r="L229" s="73"/>
      <c r="M229" s="33">
        <f t="shared" ref="M229" si="311">M52</f>
        <v>1378</v>
      </c>
      <c r="N229" s="73"/>
      <c r="O229" s="33">
        <f t="shared" ref="O229" si="312">O52</f>
        <v>2154.4</v>
      </c>
      <c r="P229" s="73"/>
      <c r="Q229" s="33">
        <f t="shared" ref="Q229" si="313">Q52</f>
        <v>1556</v>
      </c>
      <c r="R229" s="73"/>
      <c r="S229" s="33">
        <f t="shared" ref="S229" si="314">S52</f>
        <v>1719.4</v>
      </c>
      <c r="T229" s="73"/>
      <c r="U229" s="33">
        <f t="shared" ref="U229" si="315">U52</f>
        <v>0</v>
      </c>
    </row>
    <row r="230" spans="1:21" ht="14.4" customHeight="1" x14ac:dyDescent="0.3">
      <c r="A230" s="31" t="str">
        <f>A59</f>
        <v>01.02.02.</v>
      </c>
      <c r="B230" s="31"/>
      <c r="C230" s="31" t="str">
        <f>C59</f>
        <v>Trockenbauarbeiten - Akustikdecke</v>
      </c>
      <c r="D230" s="59"/>
      <c r="E230" s="60"/>
      <c r="F230" s="73"/>
      <c r="G230" s="33">
        <f>G59</f>
        <v>5691</v>
      </c>
      <c r="H230" s="73"/>
      <c r="I230" s="33">
        <f t="shared" ref="I230" si="316">I59</f>
        <v>5935</v>
      </c>
      <c r="J230" s="73"/>
      <c r="K230" s="33">
        <f>K59</f>
        <v>5691</v>
      </c>
      <c r="L230" s="73"/>
      <c r="M230" s="33">
        <f t="shared" ref="M230" si="317">M59</f>
        <v>5935</v>
      </c>
      <c r="N230" s="73"/>
      <c r="O230" s="33">
        <f t="shared" ref="O230" si="318">O59</f>
        <v>7441.5</v>
      </c>
      <c r="P230" s="73"/>
      <c r="Q230" s="33">
        <f t="shared" ref="Q230" si="319">Q59</f>
        <v>9314</v>
      </c>
      <c r="R230" s="73"/>
      <c r="S230" s="33">
        <f t="shared" ref="S230" si="320">S59</f>
        <v>6261.4000000000005</v>
      </c>
      <c r="T230" s="73"/>
      <c r="U230" s="33">
        <f t="shared" ref="U230" si="321">U59</f>
        <v>0</v>
      </c>
    </row>
    <row r="231" spans="1:21" ht="14.4" customHeight="1" x14ac:dyDescent="0.3">
      <c r="A231" s="31" t="str">
        <f>A65</f>
        <v>01.02.03.</v>
      </c>
      <c r="B231" s="31"/>
      <c r="C231" s="31" t="str">
        <f>C65</f>
        <v>Trockenbauarbeiten - GK-Deckenschürze</v>
      </c>
      <c r="D231" s="59"/>
      <c r="E231" s="60"/>
      <c r="F231" s="73"/>
      <c r="G231" s="33">
        <f>G65</f>
        <v>604.04999999999995</v>
      </c>
      <c r="H231" s="73"/>
      <c r="I231" s="33">
        <f t="shared" ref="I231" si="322">I65</f>
        <v>750.85</v>
      </c>
      <c r="J231" s="73"/>
      <c r="K231" s="33">
        <f>K65</f>
        <v>604.04999999999995</v>
      </c>
      <c r="L231" s="73"/>
      <c r="M231" s="33">
        <f t="shared" ref="M231" si="323">M65</f>
        <v>750.85</v>
      </c>
      <c r="N231" s="73"/>
      <c r="O231" s="33">
        <f t="shared" ref="O231" si="324">O65</f>
        <v>732.3</v>
      </c>
      <c r="P231" s="73"/>
      <c r="Q231" s="33">
        <f t="shared" ref="Q231" si="325">Q65</f>
        <v>851.77</v>
      </c>
      <c r="R231" s="73"/>
      <c r="S231" s="33">
        <f t="shared" ref="S231" si="326">S65</f>
        <v>1354.47</v>
      </c>
      <c r="T231" s="73"/>
      <c r="U231" s="33">
        <f t="shared" ref="U231" si="327">U65</f>
        <v>0</v>
      </c>
    </row>
    <row r="232" spans="1:21" ht="14.4" customHeight="1" x14ac:dyDescent="0.3">
      <c r="A232" s="44" t="str">
        <f>A11</f>
        <v>01.</v>
      </c>
      <c r="B232" s="44"/>
      <c r="C232" s="44" t="str">
        <f>C11</f>
        <v>Mietbereich Lorenz 2. + 3. OG</v>
      </c>
      <c r="D232" s="59"/>
      <c r="E232" s="60"/>
      <c r="F232" s="73">
        <f>SUM(G228:G231)</f>
        <v>96872.05</v>
      </c>
      <c r="G232" s="33"/>
      <c r="H232" s="73">
        <f t="shared" ref="H232" si="328">SUM(I228:I231)</f>
        <v>105680.35</v>
      </c>
      <c r="I232" s="33"/>
      <c r="J232" s="73">
        <f>SUM(K228:K231)</f>
        <v>96872.05</v>
      </c>
      <c r="K232" s="33"/>
      <c r="L232" s="73">
        <f t="shared" ref="L232" si="329">SUM(M228:M231)</f>
        <v>105680.35</v>
      </c>
      <c r="M232" s="33"/>
      <c r="N232" s="73">
        <f t="shared" ref="N232" si="330">SUM(O228:O231)</f>
        <v>121746.7</v>
      </c>
      <c r="O232" s="33"/>
      <c r="P232" s="73">
        <f t="shared" ref="P232" si="331">SUM(Q228:Q231)</f>
        <v>132685.72</v>
      </c>
      <c r="Q232" s="33"/>
      <c r="R232" s="73">
        <f t="shared" ref="R232" si="332">SUM(S228:S231)</f>
        <v>123882.46999999997</v>
      </c>
      <c r="S232" s="33"/>
      <c r="T232" s="73">
        <f t="shared" ref="T232" si="333">SUM(U228:U231)</f>
        <v>0</v>
      </c>
      <c r="U232" s="33"/>
    </row>
    <row r="233" spans="1:21" ht="14.4" customHeight="1" x14ac:dyDescent="0.3">
      <c r="A233" s="31" t="str">
        <f>A95</f>
        <v>02.01.01.</v>
      </c>
      <c r="B233" s="31"/>
      <c r="C233" s="31" t="str">
        <f>C95</f>
        <v>Trockenbauarbeiten - Wände</v>
      </c>
      <c r="D233" s="59"/>
      <c r="E233" s="60"/>
      <c r="F233" s="73"/>
      <c r="G233" s="33">
        <f>G95</f>
        <v>100008</v>
      </c>
      <c r="H233" s="73"/>
      <c r="I233" s="33">
        <f t="shared" ref="I233" si="334">I95</f>
        <v>107204.7</v>
      </c>
      <c r="J233" s="73"/>
      <c r="K233" s="33">
        <f>K95</f>
        <v>100008</v>
      </c>
      <c r="L233" s="73"/>
      <c r="M233" s="33">
        <f t="shared" ref="M233" si="335">M95</f>
        <v>107204.7</v>
      </c>
      <c r="N233" s="73"/>
      <c r="O233" s="33">
        <f t="shared" ref="O233" si="336">O95</f>
        <v>121020.20000000003</v>
      </c>
      <c r="P233" s="73"/>
      <c r="Q233" s="33">
        <f t="shared" ref="Q233" si="337">Q95</f>
        <v>115769.30000000002</v>
      </c>
      <c r="R233" s="73"/>
      <c r="S233" s="33">
        <f t="shared" ref="S233" si="338">S95</f>
        <v>133361.59999999998</v>
      </c>
      <c r="T233" s="73"/>
      <c r="U233" s="33">
        <f t="shared" ref="U233" si="339">U95</f>
        <v>0</v>
      </c>
    </row>
    <row r="234" spans="1:21" ht="14.4" customHeight="1" x14ac:dyDescent="0.3">
      <c r="A234" s="31" t="str">
        <f>A110</f>
        <v>02.02.01.</v>
      </c>
      <c r="B234" s="31"/>
      <c r="C234" s="31" t="str">
        <f>C110</f>
        <v>Trockenbauarbeiten - GK-Decke</v>
      </c>
      <c r="D234" s="59"/>
      <c r="E234" s="60"/>
      <c r="F234" s="73"/>
      <c r="G234" s="33">
        <f>G110</f>
        <v>1827</v>
      </c>
      <c r="H234" s="73"/>
      <c r="I234" s="33">
        <f t="shared" ref="I234" si="340">I110</f>
        <v>1378</v>
      </c>
      <c r="J234" s="73"/>
      <c r="K234" s="33">
        <f>K110</f>
        <v>1827</v>
      </c>
      <c r="L234" s="73"/>
      <c r="M234" s="33">
        <f t="shared" ref="M234" si="341">M110</f>
        <v>1378</v>
      </c>
      <c r="N234" s="73"/>
      <c r="O234" s="33">
        <f t="shared" ref="O234" si="342">O110</f>
        <v>2154.4</v>
      </c>
      <c r="P234" s="73"/>
      <c r="Q234" s="33">
        <f t="shared" ref="Q234" si="343">Q110</f>
        <v>1556</v>
      </c>
      <c r="R234" s="73"/>
      <c r="S234" s="33">
        <f t="shared" ref="S234" si="344">S110</f>
        <v>1847.9</v>
      </c>
      <c r="T234" s="73"/>
      <c r="U234" s="33">
        <f t="shared" ref="U234" si="345">U110</f>
        <v>0</v>
      </c>
    </row>
    <row r="235" spans="1:21" ht="14.4" customHeight="1" x14ac:dyDescent="0.3">
      <c r="A235" s="31" t="str">
        <f>A117</f>
        <v>02.02.02.</v>
      </c>
      <c r="B235" s="31"/>
      <c r="C235" s="31" t="str">
        <f>C117</f>
        <v>Trockenbauarbeiten - Akustikdecke</v>
      </c>
      <c r="D235" s="59"/>
      <c r="E235" s="60"/>
      <c r="F235" s="73"/>
      <c r="G235" s="33">
        <f>G117</f>
        <v>5691</v>
      </c>
      <c r="H235" s="73"/>
      <c r="I235" s="33">
        <f t="shared" ref="I235" si="346">I117</f>
        <v>5935</v>
      </c>
      <c r="J235" s="73"/>
      <c r="K235" s="33">
        <f>K117</f>
        <v>5691</v>
      </c>
      <c r="L235" s="73"/>
      <c r="M235" s="33">
        <f t="shared" ref="M235" si="347">M117</f>
        <v>5935</v>
      </c>
      <c r="N235" s="73"/>
      <c r="O235" s="33">
        <f t="shared" ref="O235" si="348">O117</f>
        <v>7441.5</v>
      </c>
      <c r="P235" s="73"/>
      <c r="Q235" s="33">
        <f t="shared" ref="Q235" si="349">Q117</f>
        <v>9314</v>
      </c>
      <c r="R235" s="73"/>
      <c r="S235" s="33">
        <f t="shared" ref="S235" si="350">S117</f>
        <v>6733.2</v>
      </c>
      <c r="T235" s="73"/>
      <c r="U235" s="33">
        <f t="shared" ref="U235" si="351">U117</f>
        <v>0</v>
      </c>
    </row>
    <row r="236" spans="1:21" ht="14.4" customHeight="1" x14ac:dyDescent="0.3">
      <c r="A236" s="31" t="str">
        <f>A123</f>
        <v>02.02.03.</v>
      </c>
      <c r="B236" s="31"/>
      <c r="C236" s="31" t="str">
        <f>C123</f>
        <v>Trockenbauarbeiten - GK-Deckenschürze</v>
      </c>
      <c r="D236" s="59"/>
      <c r="E236" s="60"/>
      <c r="F236" s="73"/>
      <c r="G236" s="33">
        <f>G123</f>
        <v>604.04999999999995</v>
      </c>
      <c r="H236" s="73"/>
      <c r="I236" s="33">
        <f t="shared" ref="I236" si="352">I123</f>
        <v>750.85</v>
      </c>
      <c r="J236" s="73"/>
      <c r="K236" s="33">
        <f>K123</f>
        <v>604.04999999999995</v>
      </c>
      <c r="L236" s="73"/>
      <c r="M236" s="33">
        <f t="shared" ref="M236" si="353">M123</f>
        <v>750.85</v>
      </c>
      <c r="N236" s="73"/>
      <c r="O236" s="33">
        <f t="shared" ref="O236" si="354">O123</f>
        <v>732.3</v>
      </c>
      <c r="P236" s="73"/>
      <c r="Q236" s="33">
        <f t="shared" ref="Q236" si="355">Q123</f>
        <v>851.77</v>
      </c>
      <c r="R236" s="73"/>
      <c r="S236" s="33">
        <f t="shared" ref="S236" si="356">S123</f>
        <v>1455.87</v>
      </c>
      <c r="T236" s="73"/>
      <c r="U236" s="33">
        <f t="shared" ref="U236" si="357">U123</f>
        <v>0</v>
      </c>
    </row>
    <row r="237" spans="1:21" ht="14.4" customHeight="1" x14ac:dyDescent="0.3">
      <c r="A237" s="44" t="str">
        <f>A67</f>
        <v>02.</v>
      </c>
      <c r="B237" s="44"/>
      <c r="C237" s="44" t="str">
        <f>C67</f>
        <v>Mietbereich DWD EG + 4.OG</v>
      </c>
      <c r="D237" s="59"/>
      <c r="E237" s="60"/>
      <c r="F237" s="73">
        <f>SUM(G232:G236)</f>
        <v>108130.05</v>
      </c>
      <c r="G237" s="33"/>
      <c r="H237" s="73">
        <f t="shared" ref="H237" si="358">SUM(I232:I236)</f>
        <v>115268.55</v>
      </c>
      <c r="I237" s="33"/>
      <c r="J237" s="73">
        <f>SUM(K232:K236)</f>
        <v>108130.05</v>
      </c>
      <c r="K237" s="33"/>
      <c r="L237" s="73">
        <f t="shared" ref="L237" si="359">SUM(M232:M236)</f>
        <v>115268.55</v>
      </c>
      <c r="M237" s="33"/>
      <c r="N237" s="73">
        <f t="shared" ref="N237" si="360">SUM(O232:O236)</f>
        <v>131348.40000000002</v>
      </c>
      <c r="O237" s="33"/>
      <c r="P237" s="73">
        <f t="shared" ref="P237" si="361">SUM(Q232:Q236)</f>
        <v>127491.07000000002</v>
      </c>
      <c r="Q237" s="33"/>
      <c r="R237" s="73">
        <f t="shared" ref="R237" si="362">SUM(S232:S236)</f>
        <v>143398.56999999998</v>
      </c>
      <c r="S237" s="33"/>
      <c r="T237" s="73">
        <f t="shared" ref="T237" si="363">SUM(U232:U236)</f>
        <v>0</v>
      </c>
      <c r="U237" s="33"/>
    </row>
    <row r="238" spans="1:21" ht="14.4" customHeight="1" x14ac:dyDescent="0.3">
      <c r="A238" s="31" t="str">
        <f>A150</f>
        <v>03.01.01.</v>
      </c>
      <c r="B238" s="31"/>
      <c r="C238" s="31" t="str">
        <f>C150</f>
        <v>Trockenbauarbeiten - Wände</v>
      </c>
      <c r="D238" s="59"/>
      <c r="E238" s="60"/>
      <c r="F238" s="73"/>
      <c r="G238" s="33">
        <f>G150</f>
        <v>14579</v>
      </c>
      <c r="H238" s="73"/>
      <c r="I238" s="33">
        <f t="shared" ref="I238" si="364">I150</f>
        <v>16872</v>
      </c>
      <c r="J238" s="73"/>
      <c r="K238" s="33">
        <f>K150</f>
        <v>14579</v>
      </c>
      <c r="L238" s="73"/>
      <c r="M238" s="33">
        <f t="shared" ref="M238" si="365">M150</f>
        <v>16872</v>
      </c>
      <c r="N238" s="73"/>
      <c r="O238" s="33">
        <f t="shared" ref="O238" si="366">O150</f>
        <v>18188.05</v>
      </c>
      <c r="P238" s="73"/>
      <c r="Q238" s="33">
        <f t="shared" ref="Q238" si="367">Q150</f>
        <v>20251.5</v>
      </c>
      <c r="R238" s="73"/>
      <c r="S238" s="33">
        <f t="shared" ref="S238" si="368">S150</f>
        <v>19273.999999999996</v>
      </c>
      <c r="T238" s="73"/>
      <c r="U238" s="33">
        <f t="shared" ref="U238" si="369">U150</f>
        <v>0</v>
      </c>
    </row>
    <row r="239" spans="1:21" ht="14.4" customHeight="1" x14ac:dyDescent="0.3">
      <c r="A239" s="31" t="str">
        <f>A165</f>
        <v>03.02.01.</v>
      </c>
      <c r="B239" s="31"/>
      <c r="C239" s="31" t="str">
        <f>C165</f>
        <v>Trockenbauarbeiten - GK-Decke</v>
      </c>
      <c r="D239" s="59"/>
      <c r="E239" s="60"/>
      <c r="F239" s="73"/>
      <c r="G239" s="33">
        <f>G165</f>
        <v>1517</v>
      </c>
      <c r="H239" s="73"/>
      <c r="I239" s="33">
        <f t="shared" ref="I239" si="370">I165</f>
        <v>1153</v>
      </c>
      <c r="J239" s="73"/>
      <c r="K239" s="33">
        <f>K165</f>
        <v>1517</v>
      </c>
      <c r="L239" s="73"/>
      <c r="M239" s="33">
        <f t="shared" ref="M239" si="371">M165</f>
        <v>1153</v>
      </c>
      <c r="N239" s="73"/>
      <c r="O239" s="33">
        <f t="shared" ref="O239" si="372">O165</f>
        <v>1904.9</v>
      </c>
      <c r="P239" s="73"/>
      <c r="Q239" s="33">
        <f t="shared" ref="Q239" si="373">Q165</f>
        <v>1316</v>
      </c>
      <c r="R239" s="73"/>
      <c r="S239" s="33">
        <f t="shared" ref="S239" si="374">S165</f>
        <v>1577.4</v>
      </c>
      <c r="T239" s="73"/>
      <c r="U239" s="33">
        <f t="shared" ref="U239" si="375">U165</f>
        <v>0</v>
      </c>
    </row>
    <row r="240" spans="1:21" ht="14.4" customHeight="1" x14ac:dyDescent="0.3">
      <c r="A240" s="31" t="str">
        <f>A172</f>
        <v>03.02.02.</v>
      </c>
      <c r="B240" s="31"/>
      <c r="C240" s="31" t="str">
        <f>C172</f>
        <v>Trockenbauarbeiten - Akustikdecke</v>
      </c>
      <c r="D240" s="59"/>
      <c r="E240" s="60"/>
      <c r="F240" s="73"/>
      <c r="G240" s="33">
        <f>G172</f>
        <v>5691</v>
      </c>
      <c r="H240" s="73"/>
      <c r="I240" s="33">
        <f t="shared" ref="I240" si="376">I172</f>
        <v>5935</v>
      </c>
      <c r="J240" s="73"/>
      <c r="K240" s="33">
        <f>K172</f>
        <v>5691</v>
      </c>
      <c r="L240" s="73"/>
      <c r="M240" s="33">
        <f t="shared" ref="M240" si="377">M172</f>
        <v>5935</v>
      </c>
      <c r="N240" s="73"/>
      <c r="O240" s="33">
        <f t="shared" ref="O240" si="378">O172</f>
        <v>7441.5</v>
      </c>
      <c r="P240" s="73"/>
      <c r="Q240" s="33">
        <f t="shared" ref="Q240" si="379">Q172</f>
        <v>9314</v>
      </c>
      <c r="R240" s="73"/>
      <c r="S240" s="33">
        <f t="shared" ref="S240" si="380">S172</f>
        <v>6261.4000000000005</v>
      </c>
      <c r="T240" s="73"/>
      <c r="U240" s="33">
        <f t="shared" ref="U240" si="381">U172</f>
        <v>0</v>
      </c>
    </row>
    <row r="241" spans="1:21" ht="14.4" customHeight="1" x14ac:dyDescent="0.3">
      <c r="A241" s="31" t="str">
        <f>A178</f>
        <v>03.02.03.</v>
      </c>
      <c r="B241" s="31"/>
      <c r="C241" s="31" t="str">
        <f>C178</f>
        <v>Trockenbauarbeiten - GK-Deckenschürze</v>
      </c>
      <c r="D241" s="59"/>
      <c r="E241" s="60"/>
      <c r="F241" s="73"/>
      <c r="G241" s="33">
        <f>G178</f>
        <v>604.04999999999995</v>
      </c>
      <c r="H241" s="73"/>
      <c r="I241" s="33">
        <f t="shared" ref="I241" si="382">I178</f>
        <v>750.85</v>
      </c>
      <c r="J241" s="73"/>
      <c r="K241" s="33">
        <f>K178</f>
        <v>604.04999999999995</v>
      </c>
      <c r="L241" s="73"/>
      <c r="M241" s="33">
        <f t="shared" ref="M241" si="383">M178</f>
        <v>750.85</v>
      </c>
      <c r="N241" s="73"/>
      <c r="O241" s="33">
        <f t="shared" ref="O241" si="384">O178</f>
        <v>250.70000000000002</v>
      </c>
      <c r="P241" s="73"/>
      <c r="Q241" s="33">
        <f t="shared" ref="Q241" si="385">Q178</f>
        <v>851.77</v>
      </c>
      <c r="R241" s="73"/>
      <c r="S241" s="33">
        <f t="shared" ref="S241" si="386">S178</f>
        <v>1354.47</v>
      </c>
      <c r="T241" s="73"/>
      <c r="U241" s="33">
        <f t="shared" ref="U241" si="387">U178</f>
        <v>0</v>
      </c>
    </row>
    <row r="242" spans="1:21" ht="14.4" customHeight="1" x14ac:dyDescent="0.3">
      <c r="A242" s="44" t="str">
        <f>A125</f>
        <v>03.</v>
      </c>
      <c r="B242" s="44"/>
      <c r="C242" s="44" t="str">
        <f>C125</f>
        <v>Mietbereich Kone 1.OG</v>
      </c>
      <c r="D242" s="59"/>
      <c r="E242" s="60"/>
      <c r="F242" s="73">
        <f>SUM(G238:G241)</f>
        <v>22391.05</v>
      </c>
      <c r="G242" s="33"/>
      <c r="H242" s="73">
        <f t="shared" ref="H242" si="388">SUM(I238:I241)</f>
        <v>24710.85</v>
      </c>
      <c r="I242" s="33"/>
      <c r="J242" s="73">
        <f>SUM(K238:K241)</f>
        <v>22391.05</v>
      </c>
      <c r="K242" s="33"/>
      <c r="L242" s="73">
        <f t="shared" ref="L242" si="389">SUM(M238:M241)</f>
        <v>24710.85</v>
      </c>
      <c r="M242" s="33"/>
      <c r="N242" s="73">
        <f t="shared" ref="N242" si="390">SUM(O238:O241)</f>
        <v>27785.15</v>
      </c>
      <c r="O242" s="33"/>
      <c r="P242" s="73">
        <f t="shared" ref="P242" si="391">SUM(Q238:Q241)</f>
        <v>31733.27</v>
      </c>
      <c r="Q242" s="33"/>
      <c r="R242" s="73">
        <f t="shared" ref="R242" si="392">SUM(S238:S241)</f>
        <v>28467.27</v>
      </c>
      <c r="S242" s="33"/>
      <c r="T242" s="73">
        <f t="shared" ref="T242" si="393">SUM(U238:U241)</f>
        <v>0</v>
      </c>
      <c r="U242" s="33"/>
    </row>
    <row r="243" spans="1:21" ht="14.4" customHeight="1" x14ac:dyDescent="0.3">
      <c r="A243" s="31" t="str">
        <f>A203</f>
        <v>04.01.</v>
      </c>
      <c r="B243" s="31"/>
      <c r="C243" s="31" t="str">
        <f>C203</f>
        <v>Trockenbauarbeiten - Wände</v>
      </c>
      <c r="D243" s="59"/>
      <c r="E243" s="60"/>
      <c r="F243" s="73"/>
      <c r="G243" s="33">
        <f>G203</f>
        <v>13208</v>
      </c>
      <c r="H243" s="73"/>
      <c r="I243" s="33">
        <f t="shared" ref="I243" si="394">I203</f>
        <v>14796.5</v>
      </c>
      <c r="J243" s="73"/>
      <c r="K243" s="33">
        <f>K203</f>
        <v>13208</v>
      </c>
      <c r="L243" s="73"/>
      <c r="M243" s="33">
        <f t="shared" ref="M243" si="395">M203</f>
        <v>14796.5</v>
      </c>
      <c r="N243" s="73"/>
      <c r="O243" s="33">
        <f t="shared" ref="O243" si="396">O203</f>
        <v>15482.1</v>
      </c>
      <c r="P243" s="73"/>
      <c r="Q243" s="33">
        <f t="shared" ref="Q243" si="397">Q203</f>
        <v>12947.7</v>
      </c>
      <c r="R243" s="73"/>
      <c r="S243" s="33">
        <f t="shared" ref="S243" si="398">S203</f>
        <v>19620.5</v>
      </c>
      <c r="T243" s="73"/>
      <c r="U243" s="33">
        <f t="shared" ref="U243" si="399">U203</f>
        <v>0</v>
      </c>
    </row>
    <row r="244" spans="1:21" ht="14.4" customHeight="1" x14ac:dyDescent="0.3">
      <c r="A244" s="31" t="str">
        <f>A218</f>
        <v>04.02.01.</v>
      </c>
      <c r="B244" s="31"/>
      <c r="C244" s="31" t="str">
        <f>C218</f>
        <v>Trockenbauarbeiten - GK-Decke</v>
      </c>
      <c r="D244" s="59"/>
      <c r="E244" s="60"/>
      <c r="F244" s="73"/>
      <c r="G244" s="33">
        <f>G218</f>
        <v>2868.5</v>
      </c>
      <c r="H244" s="73"/>
      <c r="I244" s="33">
        <f t="shared" ref="I244" si="400">I218</f>
        <v>2057</v>
      </c>
      <c r="J244" s="73"/>
      <c r="K244" s="33">
        <f>K218</f>
        <v>2868.5</v>
      </c>
      <c r="L244" s="73"/>
      <c r="M244" s="33">
        <f t="shared" ref="M244" si="401">M218</f>
        <v>2057</v>
      </c>
      <c r="N244" s="73"/>
      <c r="O244" s="33">
        <f t="shared" ref="O244" si="402">O218</f>
        <v>3034.7</v>
      </c>
      <c r="P244" s="73"/>
      <c r="Q244" s="33">
        <f t="shared" ref="Q244" si="403">Q218</f>
        <v>2411</v>
      </c>
      <c r="R244" s="73"/>
      <c r="S244" s="33">
        <f t="shared" ref="S244" si="404">S218</f>
        <v>2655.2</v>
      </c>
      <c r="T244" s="73"/>
      <c r="U244" s="33">
        <f t="shared" ref="U244" si="405">U218</f>
        <v>0</v>
      </c>
    </row>
    <row r="245" spans="1:21" ht="14.4" customHeight="1" x14ac:dyDescent="0.3">
      <c r="A245" s="31" t="str">
        <f>A225</f>
        <v>04.02.02.</v>
      </c>
      <c r="B245" s="31"/>
      <c r="C245" s="31" t="str">
        <f>C225</f>
        <v>Trockenbauarbeiten - Akustikdecke</v>
      </c>
      <c r="D245" s="59"/>
      <c r="E245" s="60"/>
      <c r="F245" s="73"/>
      <c r="G245" s="33">
        <f>G225</f>
        <v>12481</v>
      </c>
      <c r="H245" s="73"/>
      <c r="I245" s="33">
        <f t="shared" ref="I245" si="406">I225</f>
        <v>13960</v>
      </c>
      <c r="J245" s="73"/>
      <c r="K245" s="33">
        <f>K225</f>
        <v>12481</v>
      </c>
      <c r="L245" s="73"/>
      <c r="M245" s="33">
        <f t="shared" ref="M245" si="407">M225</f>
        <v>13960</v>
      </c>
      <c r="N245" s="73"/>
      <c r="O245" s="33">
        <f t="shared" ref="O245" si="408">O225</f>
        <v>16579</v>
      </c>
      <c r="P245" s="73"/>
      <c r="Q245" s="33">
        <f t="shared" ref="Q245" si="409">Q225</f>
        <v>20444</v>
      </c>
      <c r="R245" s="73"/>
      <c r="S245" s="33">
        <f t="shared" ref="S245" si="410">S225</f>
        <v>14963.3</v>
      </c>
      <c r="T245" s="73"/>
      <c r="U245" s="33">
        <f t="shared" ref="U245" si="411">U225</f>
        <v>0</v>
      </c>
    </row>
    <row r="246" spans="1:21" ht="14.4" customHeight="1" x14ac:dyDescent="0.3">
      <c r="A246" s="44" t="str">
        <f>A180</f>
        <v>04.</v>
      </c>
      <c r="B246" s="44"/>
      <c r="C246" s="44" t="str">
        <f>C180</f>
        <v>Musterbüro 5.OG</v>
      </c>
      <c r="D246" s="59"/>
      <c r="E246" s="60"/>
      <c r="F246" s="73">
        <f>SUM(G243:G245)</f>
        <v>28557.5</v>
      </c>
      <c r="G246" s="33"/>
      <c r="H246" s="73">
        <f t="shared" ref="H246" si="412">SUM(I243:I245)</f>
        <v>30813.5</v>
      </c>
      <c r="I246" s="33"/>
      <c r="J246" s="73">
        <f>SUM(K243:K245)</f>
        <v>28557.5</v>
      </c>
      <c r="K246" s="33"/>
      <c r="L246" s="73">
        <f t="shared" ref="L246" si="413">SUM(M243:M245)</f>
        <v>30813.5</v>
      </c>
      <c r="M246" s="33"/>
      <c r="N246" s="73">
        <f t="shared" ref="N246" si="414">SUM(O243:O245)</f>
        <v>35095.800000000003</v>
      </c>
      <c r="O246" s="33"/>
      <c r="P246" s="73">
        <f t="shared" ref="P246" si="415">SUM(Q243:Q245)</f>
        <v>35802.699999999997</v>
      </c>
      <c r="Q246" s="33"/>
      <c r="R246" s="73">
        <f t="shared" ref="R246" si="416">SUM(S243:S245)</f>
        <v>37239</v>
      </c>
      <c r="S246" s="33"/>
      <c r="T246" s="73">
        <f t="shared" ref="T246" si="417">SUM(U243:U245)</f>
        <v>0</v>
      </c>
      <c r="U246" s="33"/>
    </row>
    <row r="247" spans="1:21" ht="14.4" customHeight="1" thickBot="1" x14ac:dyDescent="0.35">
      <c r="A247" s="31"/>
      <c r="B247" s="31"/>
      <c r="C247" s="31"/>
      <c r="D247" s="59"/>
      <c r="E247" s="60"/>
      <c r="F247" s="73"/>
      <c r="G247" s="33"/>
      <c r="H247" s="73"/>
      <c r="I247" s="33"/>
      <c r="J247" s="73"/>
      <c r="K247" s="33"/>
      <c r="L247" s="73"/>
      <c r="M247" s="33"/>
      <c r="N247" s="73"/>
      <c r="O247" s="33"/>
      <c r="P247" s="73"/>
      <c r="Q247" s="33"/>
      <c r="R247" s="73"/>
      <c r="S247" s="33"/>
      <c r="T247" s="73"/>
      <c r="U247" s="33"/>
    </row>
    <row r="248" spans="1:21" ht="14.4" customHeight="1" x14ac:dyDescent="0.25">
      <c r="A248" s="45">
        <v>100</v>
      </c>
      <c r="B248" s="46"/>
      <c r="C248" s="46" t="s">
        <v>282</v>
      </c>
      <c r="D248" s="65"/>
      <c r="E248" s="66"/>
      <c r="F248" s="47"/>
      <c r="G248" s="48">
        <f>SUM(G228:G245)</f>
        <v>255950.64999999997</v>
      </c>
      <c r="H248" s="47"/>
      <c r="I248" s="48">
        <f>SUM(I228:I245)</f>
        <v>276473.25</v>
      </c>
      <c r="J248" s="47"/>
      <c r="K248" s="48">
        <f>SUM(K228:K245)</f>
        <v>255950.64999999997</v>
      </c>
      <c r="L248" s="47"/>
      <c r="M248" s="48">
        <f>SUM(M228:M245)</f>
        <v>276473.25</v>
      </c>
      <c r="N248" s="47"/>
      <c r="O248" s="48">
        <f>SUM(O228:O245)</f>
        <v>315976.05000000005</v>
      </c>
      <c r="P248" s="47"/>
      <c r="Q248" s="48">
        <f>SUM(Q228:Q245)</f>
        <v>327712.76000000007</v>
      </c>
      <c r="R248" s="47"/>
      <c r="S248" s="48">
        <f>SUM(S228:S245)</f>
        <v>332987.30999999994</v>
      </c>
      <c r="T248" s="47"/>
      <c r="U248" s="48">
        <f>SUM(U228:U245)</f>
        <v>0</v>
      </c>
    </row>
    <row r="249" spans="1:21" ht="14.4" customHeight="1" x14ac:dyDescent="0.25">
      <c r="A249" s="49">
        <v>100</v>
      </c>
      <c r="B249" s="50"/>
      <c r="C249" s="50" t="s">
        <v>283</v>
      </c>
      <c r="D249" s="67"/>
      <c r="E249" s="68"/>
      <c r="F249" s="51">
        <v>0.02</v>
      </c>
      <c r="G249" s="52">
        <f>-F249*G248</f>
        <v>-5119.012999999999</v>
      </c>
      <c r="H249" s="51">
        <v>0</v>
      </c>
      <c r="I249" s="52">
        <f>-H249*I248</f>
        <v>0</v>
      </c>
      <c r="J249" s="51">
        <v>0.02</v>
      </c>
      <c r="K249" s="52">
        <f>-J249*K248</f>
        <v>-5119.012999999999</v>
      </c>
      <c r="L249" s="51">
        <v>0</v>
      </c>
      <c r="M249" s="52">
        <f>-L249*M248</f>
        <v>0</v>
      </c>
      <c r="N249" s="51">
        <v>0</v>
      </c>
      <c r="O249" s="52">
        <f>-N249*O248</f>
        <v>0</v>
      </c>
      <c r="P249" s="51">
        <v>0</v>
      </c>
      <c r="Q249" s="52">
        <f>-P249*Q248</f>
        <v>0</v>
      </c>
      <c r="R249" s="51">
        <v>0</v>
      </c>
      <c r="S249" s="52">
        <f>-R249*S248</f>
        <v>0</v>
      </c>
      <c r="T249" s="51">
        <v>0</v>
      </c>
      <c r="U249" s="52">
        <f>-T249*U248</f>
        <v>0</v>
      </c>
    </row>
    <row r="250" spans="1:21" ht="14.4" customHeight="1" thickBot="1" x14ac:dyDescent="0.3">
      <c r="A250" s="53">
        <v>100</v>
      </c>
      <c r="B250" s="54"/>
      <c r="C250" s="54" t="s">
        <v>284</v>
      </c>
      <c r="D250" s="69"/>
      <c r="E250" s="70"/>
      <c r="F250" s="55"/>
      <c r="G250" s="56">
        <f>SUM(G248:G249)</f>
        <v>250831.63699999996</v>
      </c>
      <c r="H250" s="55"/>
      <c r="I250" s="56">
        <f>SUM(I248:I249)</f>
        <v>276473.25</v>
      </c>
      <c r="J250" s="55"/>
      <c r="K250" s="56">
        <f>SUM(K248:K249)</f>
        <v>250831.63699999996</v>
      </c>
      <c r="L250" s="55"/>
      <c r="M250" s="56">
        <f>SUM(M248:M249)</f>
        <v>276473.25</v>
      </c>
      <c r="N250" s="55"/>
      <c r="O250" s="56">
        <f>SUM(O248:O249)</f>
        <v>315976.05000000005</v>
      </c>
      <c r="P250" s="55"/>
      <c r="Q250" s="56">
        <f>SUM(Q248:Q249)</f>
        <v>327712.76000000007</v>
      </c>
      <c r="R250" s="55"/>
      <c r="S250" s="56">
        <f>SUM(S248:S249)</f>
        <v>332987.30999999994</v>
      </c>
      <c r="T250" s="55"/>
      <c r="U250" s="56">
        <f>SUM(U248:U249)</f>
        <v>0</v>
      </c>
    </row>
    <row r="251" spans="1:21" ht="14.4" customHeight="1" x14ac:dyDescent="0.25"/>
    <row r="252" spans="1:21" ht="14.4" customHeight="1" x14ac:dyDescent="0.25">
      <c r="C252" s="43" t="s">
        <v>285</v>
      </c>
    </row>
    <row r="253" spans="1:21" ht="14.4" customHeight="1" x14ac:dyDescent="0.25"/>
    <row r="254" spans="1:21" ht="14.4" customHeight="1" x14ac:dyDescent="0.25">
      <c r="C254" s="58" t="s">
        <v>286</v>
      </c>
    </row>
    <row r="255" spans="1:21" ht="14.4" customHeight="1" x14ac:dyDescent="0.25"/>
  </sheetData>
  <conditionalFormatting sqref="J220:S224 J205:S217 J181:S202 J174:S177 J167:S171 J152:S164 J126:S149 J119:S122 J112:S116 J97:S109 J68:S94 J61:S64 J54:S58 J39:S51 J12:S36">
    <cfRule type="cellIs" dxfId="0" priority="17" operator="equal">
      <formula>SMALL($F12:$S12,1)</formula>
    </cfRule>
  </conditionalFormatting>
  <printOptions gridLines="1"/>
  <pageMargins left="0.70866141732283472" right="0.70866141732283472" top="0.35433070866141736" bottom="0.78740157480314965" header="0.15748031496062992" footer="0.31496062992125984"/>
  <pageSetup paperSize="8" scale="56" fitToHeight="3" orientation="landscape" r:id="rId1"/>
  <headerFooter>
    <oddFooter>&amp;L&amp;Z&amp;F, Ausdruck vom &amp;D&amp;RSeite &amp;P von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Tabelle1!Drucktitel</vt:lpstr>
    </vt:vector>
  </TitlesOfParts>
  <Company>Adolf Lupp GmbH und Co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Neuber, Gerlinde</dc:creator>
  <cp:lastModifiedBy>Osterloh, Karola</cp:lastModifiedBy>
  <cp:lastPrinted>2024-11-14T09:50:27Z</cp:lastPrinted>
  <dcterms:created xsi:type="dcterms:W3CDTF">2024-11-12T11:29:10Z</dcterms:created>
  <dcterms:modified xsi:type="dcterms:W3CDTF">2024-11-21T12:44:06Z</dcterms:modified>
</cp:coreProperties>
</file>