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T:\20006551 Offenbach, LEIQ_Ausbau\4_01 NU - Mieterausbau BTB\Trockenbau_\4_01_02_NU-Vertrag\Preisspiegel\"/>
    </mc:Choice>
  </mc:AlternateContent>
  <xr:revisionPtr revIDLastSave="0" documentId="13_ncr:1_{8F166F83-16D9-499B-9430-AE13FA544FDD}" xr6:coauthVersionLast="47" xr6:coauthVersionMax="47" xr10:uidLastSave="{00000000-0000-0000-0000-000000000000}"/>
  <bookViews>
    <workbookView xWindow="-108" yWindow="-108" windowWidth="30936" windowHeight="16776" xr2:uid="{AE44FFD4-CF0F-4B40-A471-384F1D0DCA66}"/>
  </bookViews>
  <sheets>
    <sheet name="Tabelle1" sheetId="1" r:id="rId1"/>
  </sheets>
  <definedNames>
    <definedName name="_xlnm.Print_Titles" localSheetId="0">Tabelle1!$1:$9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4" i="1" l="1"/>
  <c r="A234" i="1"/>
  <c r="S224" i="1"/>
  <c r="S223" i="1"/>
  <c r="S222" i="1"/>
  <c r="S221" i="1"/>
  <c r="S220" i="1"/>
  <c r="S215" i="1"/>
  <c r="S214" i="1"/>
  <c r="S213" i="1"/>
  <c r="S212" i="1"/>
  <c r="S211" i="1"/>
  <c r="S210" i="1"/>
  <c r="S205" i="1"/>
  <c r="S202" i="1"/>
  <c r="S191" i="1"/>
  <c r="S189" i="1"/>
  <c r="S185" i="1"/>
  <c r="S182" i="1"/>
  <c r="S181" i="1"/>
  <c r="S177" i="1"/>
  <c r="S176" i="1"/>
  <c r="S174" i="1"/>
  <c r="S171" i="1"/>
  <c r="S170" i="1"/>
  <c r="S169" i="1"/>
  <c r="S168" i="1"/>
  <c r="S167" i="1"/>
  <c r="S162" i="1"/>
  <c r="S161" i="1"/>
  <c r="S160" i="1"/>
  <c r="S159" i="1"/>
  <c r="S158" i="1"/>
  <c r="S157" i="1"/>
  <c r="S152" i="1"/>
  <c r="S140" i="1"/>
  <c r="S139" i="1"/>
  <c r="S137" i="1"/>
  <c r="S136" i="1"/>
  <c r="S135" i="1"/>
  <c r="S126" i="1"/>
  <c r="S122" i="1"/>
  <c r="S121" i="1"/>
  <c r="S119" i="1"/>
  <c r="S123" i="1" s="1"/>
  <c r="S236" i="1" s="1"/>
  <c r="S116" i="1"/>
  <c r="S115" i="1"/>
  <c r="S114" i="1"/>
  <c r="S113" i="1"/>
  <c r="S112" i="1"/>
  <c r="S107" i="1"/>
  <c r="S106" i="1"/>
  <c r="S105" i="1"/>
  <c r="S104" i="1"/>
  <c r="S103" i="1"/>
  <c r="S102" i="1"/>
  <c r="S97" i="1"/>
  <c r="S85" i="1"/>
  <c r="S84" i="1"/>
  <c r="S82" i="1"/>
  <c r="S81" i="1"/>
  <c r="S80" i="1"/>
  <c r="S76" i="1"/>
  <c r="S73" i="1"/>
  <c r="S72" i="1"/>
  <c r="S71" i="1"/>
  <c r="S70" i="1"/>
  <c r="S69" i="1"/>
  <c r="S68" i="1"/>
  <c r="S64" i="1"/>
  <c r="S63" i="1"/>
  <c r="S61" i="1"/>
  <c r="S58" i="1"/>
  <c r="S57" i="1"/>
  <c r="S56" i="1"/>
  <c r="S55" i="1"/>
  <c r="S54" i="1"/>
  <c r="S49" i="1"/>
  <c r="S48" i="1"/>
  <c r="S47" i="1"/>
  <c r="S46" i="1"/>
  <c r="S45" i="1"/>
  <c r="S44" i="1"/>
  <c r="S39" i="1"/>
  <c r="S27" i="1"/>
  <c r="S26" i="1"/>
  <c r="S25" i="1"/>
  <c r="S24" i="1"/>
  <c r="S23" i="1"/>
  <c r="S22" i="1"/>
  <c r="S18" i="1"/>
  <c r="S15" i="1"/>
  <c r="S14" i="1"/>
  <c r="S13" i="1"/>
  <c r="S12" i="1"/>
  <c r="Q224" i="1"/>
  <c r="Q223" i="1"/>
  <c r="Q222" i="1"/>
  <c r="Q221" i="1"/>
  <c r="Q220" i="1"/>
  <c r="Q215" i="1"/>
  <c r="Q214" i="1"/>
  <c r="Q213" i="1"/>
  <c r="Q212" i="1"/>
  <c r="Q211" i="1"/>
  <c r="Q210" i="1"/>
  <c r="Q205" i="1"/>
  <c r="Q202" i="1"/>
  <c r="Q191" i="1"/>
  <c r="Q189" i="1"/>
  <c r="Q185" i="1"/>
  <c r="Q182" i="1"/>
  <c r="Q181" i="1"/>
  <c r="Q177" i="1"/>
  <c r="Q176" i="1"/>
  <c r="Q174" i="1"/>
  <c r="Q171" i="1"/>
  <c r="Q170" i="1"/>
  <c r="Q169" i="1"/>
  <c r="Q168" i="1"/>
  <c r="Q167" i="1"/>
  <c r="Q162" i="1"/>
  <c r="Q161" i="1"/>
  <c r="Q160" i="1"/>
  <c r="Q159" i="1"/>
  <c r="Q158" i="1"/>
  <c r="Q157" i="1"/>
  <c r="Q152" i="1"/>
  <c r="Q140" i="1"/>
  <c r="Q139" i="1"/>
  <c r="Q137" i="1"/>
  <c r="Q136" i="1"/>
  <c r="Q135" i="1"/>
  <c r="Q126" i="1"/>
  <c r="Q122" i="1"/>
  <c r="Q121" i="1"/>
  <c r="Q119" i="1"/>
  <c r="Q116" i="1"/>
  <c r="Q115" i="1"/>
  <c r="Q114" i="1"/>
  <c r="Q113" i="1"/>
  <c r="Q112" i="1"/>
  <c r="Q107" i="1"/>
  <c r="Q106" i="1"/>
  <c r="Q105" i="1"/>
  <c r="Q104" i="1"/>
  <c r="Q103" i="1"/>
  <c r="Q102" i="1"/>
  <c r="Q97" i="1"/>
  <c r="Q85" i="1"/>
  <c r="Q84" i="1"/>
  <c r="Q82" i="1"/>
  <c r="Q81" i="1"/>
  <c r="Q80" i="1"/>
  <c r="Q76" i="1"/>
  <c r="Q73" i="1"/>
  <c r="Q72" i="1"/>
  <c r="Q71" i="1"/>
  <c r="Q70" i="1"/>
  <c r="Q69" i="1"/>
  <c r="Q68" i="1"/>
  <c r="Q64" i="1"/>
  <c r="Q63" i="1"/>
  <c r="Q61" i="1"/>
  <c r="Q58" i="1"/>
  <c r="Q57" i="1"/>
  <c r="Q56" i="1"/>
  <c r="Q55" i="1"/>
  <c r="Q54" i="1"/>
  <c r="Q49" i="1"/>
  <c r="Q48" i="1"/>
  <c r="Q47" i="1"/>
  <c r="Q46" i="1"/>
  <c r="Q45" i="1"/>
  <c r="Q44" i="1"/>
  <c r="Q39" i="1"/>
  <c r="Q27" i="1"/>
  <c r="Q26" i="1"/>
  <c r="Q25" i="1"/>
  <c r="Q24" i="1"/>
  <c r="Q23" i="1"/>
  <c r="Q22" i="1"/>
  <c r="Q18" i="1"/>
  <c r="Q15" i="1"/>
  <c r="Q14" i="1"/>
  <c r="Q13" i="1"/>
  <c r="Q12" i="1"/>
  <c r="O224" i="1"/>
  <c r="O223" i="1"/>
  <c r="O222" i="1"/>
  <c r="O221" i="1"/>
  <c r="O220" i="1"/>
  <c r="O215" i="1"/>
  <c r="O214" i="1"/>
  <c r="O213" i="1"/>
  <c r="O212" i="1"/>
  <c r="O211" i="1"/>
  <c r="O210" i="1"/>
  <c r="O205" i="1"/>
  <c r="O202" i="1"/>
  <c r="O191" i="1"/>
  <c r="O189" i="1"/>
  <c r="O185" i="1"/>
  <c r="O182" i="1"/>
  <c r="O181" i="1"/>
  <c r="O177" i="1"/>
  <c r="O176" i="1"/>
  <c r="O174" i="1"/>
  <c r="O171" i="1"/>
  <c r="O170" i="1"/>
  <c r="O169" i="1"/>
  <c r="O168" i="1"/>
  <c r="O167" i="1"/>
  <c r="O162" i="1"/>
  <c r="O161" i="1"/>
  <c r="O160" i="1"/>
  <c r="O159" i="1"/>
  <c r="O158" i="1"/>
  <c r="O157" i="1"/>
  <c r="O152" i="1"/>
  <c r="O140" i="1"/>
  <c r="O139" i="1"/>
  <c r="O137" i="1"/>
  <c r="O136" i="1"/>
  <c r="O135" i="1"/>
  <c r="O126" i="1"/>
  <c r="O122" i="1"/>
  <c r="O121" i="1"/>
  <c r="O119" i="1"/>
  <c r="O116" i="1"/>
  <c r="O115" i="1"/>
  <c r="O114" i="1"/>
  <c r="O113" i="1"/>
  <c r="O112" i="1"/>
  <c r="O107" i="1"/>
  <c r="O106" i="1"/>
  <c r="O105" i="1"/>
  <c r="O104" i="1"/>
  <c r="O103" i="1"/>
  <c r="O102" i="1"/>
  <c r="O97" i="1"/>
  <c r="O85" i="1"/>
  <c r="O84" i="1"/>
  <c r="O82" i="1"/>
  <c r="O81" i="1"/>
  <c r="O80" i="1"/>
  <c r="O76" i="1"/>
  <c r="O73" i="1"/>
  <c r="O72" i="1"/>
  <c r="O71" i="1"/>
  <c r="O70" i="1"/>
  <c r="O69" i="1"/>
  <c r="O68" i="1"/>
  <c r="O64" i="1"/>
  <c r="O63" i="1"/>
  <c r="O61" i="1"/>
  <c r="O58" i="1"/>
  <c r="O57" i="1"/>
  <c r="O56" i="1"/>
  <c r="O55" i="1"/>
  <c r="O54" i="1"/>
  <c r="O49" i="1"/>
  <c r="O48" i="1"/>
  <c r="O47" i="1"/>
  <c r="O46" i="1"/>
  <c r="O45" i="1"/>
  <c r="O44" i="1"/>
  <c r="O39" i="1"/>
  <c r="O27" i="1"/>
  <c r="O26" i="1"/>
  <c r="O25" i="1"/>
  <c r="O24" i="1"/>
  <c r="O23" i="1"/>
  <c r="O22" i="1"/>
  <c r="O18" i="1"/>
  <c r="O15" i="1"/>
  <c r="O14" i="1"/>
  <c r="O13" i="1"/>
  <c r="O12" i="1"/>
  <c r="M224" i="1"/>
  <c r="M223" i="1"/>
  <c r="M222" i="1"/>
  <c r="M221" i="1"/>
  <c r="M220" i="1"/>
  <c r="M215" i="1"/>
  <c r="M214" i="1"/>
  <c r="M213" i="1"/>
  <c r="M212" i="1"/>
  <c r="M211" i="1"/>
  <c r="M210" i="1"/>
  <c r="M205" i="1"/>
  <c r="M202" i="1"/>
  <c r="M191" i="1"/>
  <c r="M189" i="1"/>
  <c r="M185" i="1"/>
  <c r="M182" i="1"/>
  <c r="M181" i="1"/>
  <c r="M177" i="1"/>
  <c r="M176" i="1"/>
  <c r="M174" i="1"/>
  <c r="M178" i="1" s="1"/>
  <c r="M241" i="1" s="1"/>
  <c r="M171" i="1"/>
  <c r="M170" i="1"/>
  <c r="M169" i="1"/>
  <c r="M168" i="1"/>
  <c r="M167" i="1"/>
  <c r="M162" i="1"/>
  <c r="M161" i="1"/>
  <c r="M160" i="1"/>
  <c r="M159" i="1"/>
  <c r="M158" i="1"/>
  <c r="M157" i="1"/>
  <c r="M152" i="1"/>
  <c r="M140" i="1"/>
  <c r="M139" i="1"/>
  <c r="M137" i="1"/>
  <c r="M136" i="1"/>
  <c r="M135" i="1"/>
  <c r="M126" i="1"/>
  <c r="M122" i="1"/>
  <c r="M121" i="1"/>
  <c r="M119" i="1"/>
  <c r="M116" i="1"/>
  <c r="M115" i="1"/>
  <c r="M114" i="1"/>
  <c r="M113" i="1"/>
  <c r="M112" i="1"/>
  <c r="M107" i="1"/>
  <c r="M106" i="1"/>
  <c r="M105" i="1"/>
  <c r="M104" i="1"/>
  <c r="M103" i="1"/>
  <c r="M102" i="1"/>
  <c r="M97" i="1"/>
  <c r="M85" i="1"/>
  <c r="M84" i="1"/>
  <c r="M82" i="1"/>
  <c r="M81" i="1"/>
  <c r="M80" i="1"/>
  <c r="M76" i="1"/>
  <c r="M73" i="1"/>
  <c r="M72" i="1"/>
  <c r="M71" i="1"/>
  <c r="M70" i="1"/>
  <c r="M69" i="1"/>
  <c r="M68" i="1"/>
  <c r="M64" i="1"/>
  <c r="M63" i="1"/>
  <c r="M61" i="1"/>
  <c r="M58" i="1"/>
  <c r="M57" i="1"/>
  <c r="M56" i="1"/>
  <c r="M55" i="1"/>
  <c r="M54" i="1"/>
  <c r="M49" i="1"/>
  <c r="M48" i="1"/>
  <c r="M47" i="1"/>
  <c r="M46" i="1"/>
  <c r="M45" i="1"/>
  <c r="M44" i="1"/>
  <c r="M39" i="1"/>
  <c r="M27" i="1"/>
  <c r="M26" i="1"/>
  <c r="M25" i="1"/>
  <c r="M24" i="1"/>
  <c r="M23" i="1"/>
  <c r="M22" i="1"/>
  <c r="M18" i="1"/>
  <c r="M15" i="1"/>
  <c r="M14" i="1"/>
  <c r="M13" i="1"/>
  <c r="M12" i="1"/>
  <c r="K224" i="1"/>
  <c r="K223" i="1"/>
  <c r="K222" i="1"/>
  <c r="K221" i="1"/>
  <c r="K220" i="1"/>
  <c r="K215" i="1"/>
  <c r="K214" i="1"/>
  <c r="K213" i="1"/>
  <c r="K212" i="1"/>
  <c r="K211" i="1"/>
  <c r="K210" i="1"/>
  <c r="K205" i="1"/>
  <c r="K202" i="1"/>
  <c r="K191" i="1"/>
  <c r="K189" i="1"/>
  <c r="K185" i="1"/>
  <c r="K182" i="1"/>
  <c r="K181" i="1"/>
  <c r="K177" i="1"/>
  <c r="K176" i="1"/>
  <c r="K174" i="1"/>
  <c r="K171" i="1"/>
  <c r="K170" i="1"/>
  <c r="K169" i="1"/>
  <c r="K168" i="1"/>
  <c r="K167" i="1"/>
  <c r="K162" i="1"/>
  <c r="K161" i="1"/>
  <c r="K160" i="1"/>
  <c r="K159" i="1"/>
  <c r="K158" i="1"/>
  <c r="K157" i="1"/>
  <c r="K152" i="1"/>
  <c r="K140" i="1"/>
  <c r="K139" i="1"/>
  <c r="K137" i="1"/>
  <c r="K136" i="1"/>
  <c r="K135" i="1"/>
  <c r="K126" i="1"/>
  <c r="K122" i="1"/>
  <c r="K121" i="1"/>
  <c r="K119" i="1"/>
  <c r="K116" i="1"/>
  <c r="K115" i="1"/>
  <c r="K114" i="1"/>
  <c r="K113" i="1"/>
  <c r="K112" i="1"/>
  <c r="K107" i="1"/>
  <c r="K106" i="1"/>
  <c r="K105" i="1"/>
  <c r="K104" i="1"/>
  <c r="K103" i="1"/>
  <c r="K102" i="1"/>
  <c r="K97" i="1"/>
  <c r="K85" i="1"/>
  <c r="K84" i="1"/>
  <c r="K82" i="1"/>
  <c r="K81" i="1"/>
  <c r="K80" i="1"/>
  <c r="K76" i="1"/>
  <c r="K73" i="1"/>
  <c r="K72" i="1"/>
  <c r="K71" i="1"/>
  <c r="K70" i="1"/>
  <c r="K69" i="1"/>
  <c r="K68" i="1"/>
  <c r="K64" i="1"/>
  <c r="K63" i="1"/>
  <c r="K61" i="1"/>
  <c r="K58" i="1"/>
  <c r="K57" i="1"/>
  <c r="K56" i="1"/>
  <c r="K55" i="1"/>
  <c r="K54" i="1"/>
  <c r="K49" i="1"/>
  <c r="K48" i="1"/>
  <c r="K47" i="1"/>
  <c r="K46" i="1"/>
  <c r="K45" i="1"/>
  <c r="K44" i="1"/>
  <c r="K39" i="1"/>
  <c r="K27" i="1"/>
  <c r="K26" i="1"/>
  <c r="K25" i="1"/>
  <c r="K24" i="1"/>
  <c r="K23" i="1"/>
  <c r="K22" i="1"/>
  <c r="K18" i="1"/>
  <c r="K15" i="1"/>
  <c r="K14" i="1"/>
  <c r="K13" i="1"/>
  <c r="K12" i="1"/>
  <c r="I224" i="1"/>
  <c r="I223" i="1"/>
  <c r="I222" i="1"/>
  <c r="I221" i="1"/>
  <c r="I220" i="1"/>
  <c r="I215" i="1"/>
  <c r="I214" i="1"/>
  <c r="I213" i="1"/>
  <c r="I212" i="1"/>
  <c r="I211" i="1"/>
  <c r="I210" i="1"/>
  <c r="I205" i="1"/>
  <c r="I202" i="1"/>
  <c r="I191" i="1"/>
  <c r="I189" i="1"/>
  <c r="I185" i="1"/>
  <c r="I182" i="1"/>
  <c r="I181" i="1"/>
  <c r="I177" i="1"/>
  <c r="I176" i="1"/>
  <c r="I174" i="1"/>
  <c r="I171" i="1"/>
  <c r="I170" i="1"/>
  <c r="I169" i="1"/>
  <c r="I168" i="1"/>
  <c r="I167" i="1"/>
  <c r="I162" i="1"/>
  <c r="I161" i="1"/>
  <c r="I160" i="1"/>
  <c r="I159" i="1"/>
  <c r="I158" i="1"/>
  <c r="I157" i="1"/>
  <c r="I152" i="1"/>
  <c r="I140" i="1"/>
  <c r="I139" i="1"/>
  <c r="I137" i="1"/>
  <c r="I136" i="1"/>
  <c r="I135" i="1"/>
  <c r="I126" i="1"/>
  <c r="I122" i="1"/>
  <c r="I121" i="1"/>
  <c r="I119" i="1"/>
  <c r="I116" i="1"/>
  <c r="I115" i="1"/>
  <c r="I114" i="1"/>
  <c r="I113" i="1"/>
  <c r="I112" i="1"/>
  <c r="I107" i="1"/>
  <c r="I106" i="1"/>
  <c r="I105" i="1"/>
  <c r="I104" i="1"/>
  <c r="I103" i="1"/>
  <c r="I102" i="1"/>
  <c r="I97" i="1"/>
  <c r="I85" i="1"/>
  <c r="I84" i="1"/>
  <c r="I82" i="1"/>
  <c r="I81" i="1"/>
  <c r="I80" i="1"/>
  <c r="I76" i="1"/>
  <c r="I73" i="1"/>
  <c r="I72" i="1"/>
  <c r="I71" i="1"/>
  <c r="I70" i="1"/>
  <c r="I69" i="1"/>
  <c r="I68" i="1"/>
  <c r="I64" i="1"/>
  <c r="I63" i="1"/>
  <c r="I61" i="1"/>
  <c r="I58" i="1"/>
  <c r="I57" i="1"/>
  <c r="I56" i="1"/>
  <c r="I55" i="1"/>
  <c r="I54" i="1"/>
  <c r="I49" i="1"/>
  <c r="I48" i="1"/>
  <c r="I47" i="1"/>
  <c r="I46" i="1"/>
  <c r="I45" i="1"/>
  <c r="I44" i="1"/>
  <c r="I39" i="1"/>
  <c r="I27" i="1"/>
  <c r="I26" i="1"/>
  <c r="I25" i="1"/>
  <c r="I24" i="1"/>
  <c r="I23" i="1"/>
  <c r="I22" i="1"/>
  <c r="I18" i="1"/>
  <c r="I15" i="1"/>
  <c r="I14" i="1"/>
  <c r="I13" i="1"/>
  <c r="I12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3" i="1"/>
  <c r="C232" i="1"/>
  <c r="C231" i="1"/>
  <c r="C230" i="1"/>
  <c r="C229" i="1"/>
  <c r="C228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3" i="1"/>
  <c r="A232" i="1"/>
  <c r="A231" i="1"/>
  <c r="A230" i="1"/>
  <c r="A229" i="1"/>
  <c r="A228" i="1"/>
  <c r="G44" i="1"/>
  <c r="G45" i="1"/>
  <c r="G46" i="1"/>
  <c r="G47" i="1"/>
  <c r="G48" i="1"/>
  <c r="G49" i="1"/>
  <c r="G54" i="1"/>
  <c r="G55" i="1"/>
  <c r="G56" i="1"/>
  <c r="G57" i="1"/>
  <c r="G58" i="1"/>
  <c r="G61" i="1"/>
  <c r="G63" i="1"/>
  <c r="G64" i="1"/>
  <c r="G68" i="1"/>
  <c r="G69" i="1"/>
  <c r="G70" i="1"/>
  <c r="G71" i="1"/>
  <c r="G72" i="1"/>
  <c r="G73" i="1"/>
  <c r="G76" i="1"/>
  <c r="G80" i="1"/>
  <c r="G81" i="1"/>
  <c r="G82" i="1"/>
  <c r="G84" i="1"/>
  <c r="G85" i="1"/>
  <c r="G97" i="1"/>
  <c r="G102" i="1"/>
  <c r="G103" i="1"/>
  <c r="G104" i="1"/>
  <c r="G105" i="1"/>
  <c r="G106" i="1"/>
  <c r="G107" i="1"/>
  <c r="G112" i="1"/>
  <c r="G113" i="1"/>
  <c r="G114" i="1"/>
  <c r="G115" i="1"/>
  <c r="G116" i="1"/>
  <c r="G119" i="1"/>
  <c r="G121" i="1"/>
  <c r="G122" i="1"/>
  <c r="G126" i="1"/>
  <c r="G135" i="1"/>
  <c r="G136" i="1"/>
  <c r="G137" i="1"/>
  <c r="G139" i="1"/>
  <c r="G140" i="1"/>
  <c r="G152" i="1"/>
  <c r="G157" i="1"/>
  <c r="G158" i="1"/>
  <c r="G159" i="1"/>
  <c r="G160" i="1"/>
  <c r="G161" i="1"/>
  <c r="G162" i="1"/>
  <c r="G167" i="1"/>
  <c r="G168" i="1"/>
  <c r="G169" i="1"/>
  <c r="G170" i="1"/>
  <c r="G171" i="1"/>
  <c r="G174" i="1"/>
  <c r="G176" i="1"/>
  <c r="G177" i="1"/>
  <c r="G181" i="1"/>
  <c r="G182" i="1"/>
  <c r="G185" i="1"/>
  <c r="G189" i="1"/>
  <c r="G191" i="1"/>
  <c r="G202" i="1"/>
  <c r="G205" i="1"/>
  <c r="G210" i="1"/>
  <c r="G211" i="1"/>
  <c r="G212" i="1"/>
  <c r="G213" i="1"/>
  <c r="G214" i="1"/>
  <c r="G215" i="1"/>
  <c r="G220" i="1"/>
  <c r="G221" i="1"/>
  <c r="G222" i="1"/>
  <c r="G223" i="1"/>
  <c r="G224" i="1"/>
  <c r="G39" i="1"/>
  <c r="G13" i="1"/>
  <c r="G14" i="1"/>
  <c r="G15" i="1"/>
  <c r="G18" i="1"/>
  <c r="G22" i="1"/>
  <c r="G23" i="1"/>
  <c r="G24" i="1"/>
  <c r="G25" i="1"/>
  <c r="G26" i="1"/>
  <c r="G27" i="1"/>
  <c r="G12" i="1"/>
  <c r="O59" i="1" l="1"/>
  <c r="O230" i="1" s="1"/>
  <c r="O123" i="1"/>
  <c r="O236" i="1" s="1"/>
  <c r="S110" i="1"/>
  <c r="S234" i="1" s="1"/>
  <c r="O178" i="1"/>
  <c r="O241" i="1" s="1"/>
  <c r="Q65" i="1"/>
  <c r="Q231" i="1" s="1"/>
  <c r="Q117" i="1"/>
  <c r="Q235" i="1" s="1"/>
  <c r="I65" i="1"/>
  <c r="I231" i="1" s="1"/>
  <c r="I117" i="1"/>
  <c r="I235" i="1" s="1"/>
  <c r="O225" i="1"/>
  <c r="O245" i="1" s="1"/>
  <c r="O37" i="1"/>
  <c r="O228" i="1" s="1"/>
  <c r="S218" i="1"/>
  <c r="S244" i="1" s="1"/>
  <c r="S165" i="1"/>
  <c r="S239" i="1" s="1"/>
  <c r="Q225" i="1"/>
  <c r="Q245" i="1" s="1"/>
  <c r="M203" i="1"/>
  <c r="M243" i="1" s="1"/>
  <c r="O95" i="1"/>
  <c r="O233" i="1" s="1"/>
  <c r="Q37" i="1"/>
  <c r="Q228" i="1" s="1"/>
  <c r="S59" i="1"/>
  <c r="S230" i="1" s="1"/>
  <c r="M150" i="1"/>
  <c r="M238" i="1" s="1"/>
  <c r="I59" i="1"/>
  <c r="I230" i="1" s="1"/>
  <c r="K165" i="1"/>
  <c r="K239" i="1" s="1"/>
  <c r="S225" i="1"/>
  <c r="S245" i="1" s="1"/>
  <c r="K110" i="1"/>
  <c r="K234" i="1" s="1"/>
  <c r="O203" i="1"/>
  <c r="O243" i="1" s="1"/>
  <c r="O150" i="1"/>
  <c r="O238" i="1" s="1"/>
  <c r="Q178" i="1"/>
  <c r="Q241" i="1" s="1"/>
  <c r="S65" i="1"/>
  <c r="S231" i="1" s="1"/>
  <c r="S117" i="1"/>
  <c r="S235" i="1" s="1"/>
  <c r="K59" i="1"/>
  <c r="K230" i="1" s="1"/>
  <c r="M218" i="1"/>
  <c r="M244" i="1" s="1"/>
  <c r="Q123" i="1"/>
  <c r="Q236" i="1" s="1"/>
  <c r="S95" i="1"/>
  <c r="S233" i="1" s="1"/>
  <c r="S37" i="1"/>
  <c r="S228" i="1" s="1"/>
  <c r="M165" i="1"/>
  <c r="M239" i="1" s="1"/>
  <c r="O52" i="1"/>
  <c r="O229" i="1" s="1"/>
  <c r="M110" i="1"/>
  <c r="M234" i="1" s="1"/>
  <c r="G37" i="1"/>
  <c r="G228" i="1" s="1"/>
  <c r="I178" i="1"/>
  <c r="I241" i="1" s="1"/>
  <c r="I37" i="1"/>
  <c r="I228" i="1" s="1"/>
  <c r="K225" i="1"/>
  <c r="K245" i="1" s="1"/>
  <c r="M59" i="1"/>
  <c r="M230" i="1" s="1"/>
  <c r="K65" i="1"/>
  <c r="K231" i="1" s="1"/>
  <c r="Q218" i="1"/>
  <c r="Q244" i="1" s="1"/>
  <c r="Q203" i="1"/>
  <c r="Q243" i="1" s="1"/>
  <c r="Q150" i="1"/>
  <c r="Q238" i="1" s="1"/>
  <c r="Q52" i="1"/>
  <c r="Q229" i="1" s="1"/>
  <c r="O218" i="1"/>
  <c r="O244" i="1" s="1"/>
  <c r="M37" i="1"/>
  <c r="M228" i="1" s="1"/>
  <c r="M225" i="1"/>
  <c r="M245" i="1" s="1"/>
  <c r="M65" i="1"/>
  <c r="M231" i="1" s="1"/>
  <c r="M117" i="1"/>
  <c r="M235" i="1" s="1"/>
  <c r="K37" i="1"/>
  <c r="K228" i="1" s="1"/>
  <c r="K178" i="1"/>
  <c r="K241" i="1" s="1"/>
  <c r="K123" i="1"/>
  <c r="K236" i="1" s="1"/>
  <c r="I203" i="1"/>
  <c r="I243" i="1" s="1"/>
  <c r="M95" i="1"/>
  <c r="M233" i="1" s="1"/>
  <c r="M52" i="1"/>
  <c r="M229" i="1" s="1"/>
  <c r="K218" i="1"/>
  <c r="K244" i="1" s="1"/>
  <c r="Q95" i="1"/>
  <c r="Q233" i="1" s="1"/>
  <c r="S172" i="1"/>
  <c r="S240" i="1" s="1"/>
  <c r="I150" i="1"/>
  <c r="I238" i="1" s="1"/>
  <c r="I172" i="1"/>
  <c r="I240" i="1" s="1"/>
  <c r="K172" i="1"/>
  <c r="K240" i="1" s="1"/>
  <c r="K117" i="1"/>
  <c r="K235" i="1" s="1"/>
  <c r="O165" i="1"/>
  <c r="O239" i="1" s="1"/>
  <c r="S178" i="1"/>
  <c r="S241" i="1" s="1"/>
  <c r="Q172" i="1"/>
  <c r="Q240" i="1" s="1"/>
  <c r="I123" i="1"/>
  <c r="I236" i="1" s="1"/>
  <c r="I95" i="1"/>
  <c r="I233" i="1" s="1"/>
  <c r="K95" i="1"/>
  <c r="K233" i="1" s="1"/>
  <c r="I52" i="1"/>
  <c r="I229" i="1" s="1"/>
  <c r="K203" i="1"/>
  <c r="K243" i="1" s="1"/>
  <c r="Q110" i="1"/>
  <c r="Q234" i="1" s="1"/>
  <c r="Q165" i="1"/>
  <c r="Q239" i="1" s="1"/>
  <c r="S203" i="1"/>
  <c r="S243" i="1" s="1"/>
  <c r="I218" i="1"/>
  <c r="I244" i="1" s="1"/>
  <c r="K150" i="1"/>
  <c r="K238" i="1" s="1"/>
  <c r="M172" i="1"/>
  <c r="M240" i="1" s="1"/>
  <c r="O110" i="1"/>
  <c r="O234" i="1" s="1"/>
  <c r="O172" i="1"/>
  <c r="O240" i="1" s="1"/>
  <c r="I165" i="1"/>
  <c r="I239" i="1" s="1"/>
  <c r="O117" i="1"/>
  <c r="O235" i="1" s="1"/>
  <c r="Q59" i="1"/>
  <c r="Q230" i="1" s="1"/>
  <c r="S52" i="1"/>
  <c r="S229" i="1" s="1"/>
  <c r="I110" i="1"/>
  <c r="I234" i="1" s="1"/>
  <c r="K52" i="1"/>
  <c r="K229" i="1" s="1"/>
  <c r="O65" i="1"/>
  <c r="O231" i="1" s="1"/>
  <c r="M123" i="1"/>
  <c r="M236" i="1" s="1"/>
  <c r="S150" i="1"/>
  <c r="S238" i="1" s="1"/>
  <c r="I225" i="1"/>
  <c r="I245" i="1" s="1"/>
  <c r="G59" i="1"/>
  <c r="G230" i="1" s="1"/>
  <c r="G65" i="1"/>
  <c r="G231" i="1" s="1"/>
  <c r="G218" i="1"/>
  <c r="G244" i="1" s="1"/>
  <c r="G203" i="1"/>
  <c r="G243" i="1" s="1"/>
  <c r="G165" i="1"/>
  <c r="G239" i="1" s="1"/>
  <c r="G150" i="1"/>
  <c r="G238" i="1" s="1"/>
  <c r="G110" i="1"/>
  <c r="G234" i="1" s="1"/>
  <c r="G95" i="1"/>
  <c r="G233" i="1" s="1"/>
  <c r="G225" i="1"/>
  <c r="G245" i="1" s="1"/>
  <c r="G172" i="1"/>
  <c r="G240" i="1" s="1"/>
  <c r="G117" i="1"/>
  <c r="G235" i="1" s="1"/>
  <c r="G52" i="1"/>
  <c r="G229" i="1" s="1"/>
  <c r="G178" i="1"/>
  <c r="G241" i="1" s="1"/>
  <c r="G123" i="1"/>
  <c r="G236" i="1" s="1"/>
  <c r="S248" i="1" l="1"/>
  <c r="S249" i="1" s="1"/>
  <c r="S250" i="1" s="1"/>
  <c r="Q248" i="1"/>
  <c r="Q249" i="1" s="1"/>
  <c r="Q250" i="1" s="1"/>
  <c r="G248" i="1"/>
  <c r="G249" i="1" s="1"/>
  <c r="G250" i="1" s="1"/>
  <c r="O248" i="1"/>
  <c r="O249" i="1" s="1"/>
  <c r="O250" i="1" s="1"/>
  <c r="M248" i="1"/>
  <c r="M249" i="1" s="1"/>
  <c r="M250" i="1" s="1"/>
  <c r="K248" i="1"/>
  <c r="K249" i="1" s="1"/>
  <c r="K250" i="1" s="1"/>
  <c r="I248" i="1"/>
  <c r="I249" i="1" s="1"/>
  <c r="I250" i="1" s="1"/>
</calcChain>
</file>

<file path=xl/sharedStrings.xml><?xml version="1.0" encoding="utf-8"?>
<sst xmlns="http://schemas.openxmlformats.org/spreadsheetml/2006/main" count="1401" uniqueCount="301">
  <si>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</si>
  <si>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</si>
  <si>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</si>
  <si>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</si>
  <si>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</si>
  <si>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</si>
  <si>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</si>
  <si>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</si>
  <si>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</si>
  <si>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</si>
  <si>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</si>
  <si>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</si>
  <si>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</si>
  <si>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</si>
  <si>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</si>
  <si>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</si>
  <si>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</si>
  <si>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>20006551 Offenbach LEIQ - Aubau BT B</t>
  </si>
  <si>
    <t>Trockenbau</t>
  </si>
  <si>
    <t>01.</t>
  </si>
  <si>
    <t>01.01.01.</t>
  </si>
  <si>
    <t xml:space="preserve">01.01.01.0010. </t>
  </si>
  <si>
    <t xml:space="preserve">01.01.01.0020. </t>
  </si>
  <si>
    <t xml:space="preserve">01.01.01.0030. </t>
  </si>
  <si>
    <t xml:space="preserve">01.01.01.0040. </t>
  </si>
  <si>
    <t xml:space="preserve">01.01.01.0100. </t>
  </si>
  <si>
    <t xml:space="preserve">01.01.01.0110. </t>
  </si>
  <si>
    <t xml:space="preserve">01.01.01.0130. </t>
  </si>
  <si>
    <t xml:space="preserve">01.01.01.0140. </t>
  </si>
  <si>
    <t xml:space="preserve">01.01.01.0150. </t>
  </si>
  <si>
    <t xml:space="preserve">01.01.01.0160. </t>
  </si>
  <si>
    <t xml:space="preserve">01.01.01.0180. </t>
  </si>
  <si>
    <t xml:space="preserve">01.01.01.0190. </t>
  </si>
  <si>
    <t xml:space="preserve">01.01.01.0200. </t>
  </si>
  <si>
    <t xml:space="preserve">01.01.01.0210. </t>
  </si>
  <si>
    <t xml:space="preserve">01.01.01.0215. </t>
  </si>
  <si>
    <t xml:space="preserve">01.01.01.0220. </t>
  </si>
  <si>
    <t xml:space="preserve">01.01.01.0250. </t>
  </si>
  <si>
    <t xml:space="preserve">01.01.01.0260. </t>
  </si>
  <si>
    <t xml:space="preserve">01.01.01.0270. </t>
  </si>
  <si>
    <t xml:space="preserve">01.01.01.0280. </t>
  </si>
  <si>
    <t xml:space="preserve">01.01.01.0290. </t>
  </si>
  <si>
    <t xml:space="preserve">01.01.01.0300. </t>
  </si>
  <si>
    <t xml:space="preserve">01.01.01.0310. </t>
  </si>
  <si>
    <t xml:space="preserve">01.01.01.0320. </t>
  </si>
  <si>
    <t xml:space="preserve">01.01.01.0330. </t>
  </si>
  <si>
    <t>01.02.01.</t>
  </si>
  <si>
    <t xml:space="preserve">01.02.01.0010. </t>
  </si>
  <si>
    <t xml:space="preserve">01.02.01.0020. </t>
  </si>
  <si>
    <t xml:space="preserve">01.02.01.0030. </t>
  </si>
  <si>
    <t xml:space="preserve">01.02.01.0040. </t>
  </si>
  <si>
    <t xml:space="preserve">01.02.01.0050. </t>
  </si>
  <si>
    <t xml:space="preserve">01.02.01.0060. </t>
  </si>
  <si>
    <t xml:space="preserve">01.02.01.0070. </t>
  </si>
  <si>
    <t xml:space="preserve">01.02.01.0080. </t>
  </si>
  <si>
    <t xml:space="preserve">01.02.01.0090. </t>
  </si>
  <si>
    <t xml:space="preserve">01.02.01.0100. </t>
  </si>
  <si>
    <t xml:space="preserve">01.02.01.0110. </t>
  </si>
  <si>
    <t xml:space="preserve">01.02.01.0120. </t>
  </si>
  <si>
    <t xml:space="preserve">01.02.01.0130. </t>
  </si>
  <si>
    <t>01.02.02.</t>
  </si>
  <si>
    <t xml:space="preserve">01.02.02.0010. </t>
  </si>
  <si>
    <t xml:space="preserve">01.02.02.0020. </t>
  </si>
  <si>
    <t xml:space="preserve">01.02.02.0030. </t>
  </si>
  <si>
    <t xml:space="preserve">01.02.02.0040. </t>
  </si>
  <si>
    <t xml:space="preserve">01.02.02.0050. </t>
  </si>
  <si>
    <t>01.02.03.</t>
  </si>
  <si>
    <t xml:space="preserve">01.02.03.0010. </t>
  </si>
  <si>
    <t xml:space="preserve">01.02.03.0020. </t>
  </si>
  <si>
    <t xml:space="preserve">01.02.03.0040. </t>
  </si>
  <si>
    <t xml:space="preserve">01.02.03.0050. </t>
  </si>
  <si>
    <t>02.</t>
  </si>
  <si>
    <t>02.01.01.</t>
  </si>
  <si>
    <t xml:space="preserve">02.01.01.0010. </t>
  </si>
  <si>
    <t xml:space="preserve">02.01.01.0020. </t>
  </si>
  <si>
    <t xml:space="preserve">02.01.01.0030. </t>
  </si>
  <si>
    <t xml:space="preserve">02.01.01.0040. </t>
  </si>
  <si>
    <t xml:space="preserve">02.01.01.0090. </t>
  </si>
  <si>
    <t xml:space="preserve">02.01.01.0095. </t>
  </si>
  <si>
    <t xml:space="preserve">02.01.01.0100. </t>
  </si>
  <si>
    <t xml:space="preserve">02.01.01.0110. </t>
  </si>
  <si>
    <t xml:space="preserve">02.01.01.0130. </t>
  </si>
  <si>
    <t xml:space="preserve">02.01.01.0140. </t>
  </si>
  <si>
    <t xml:space="preserve">02.01.01.0150. </t>
  </si>
  <si>
    <t xml:space="preserve">02.01.01.0160. </t>
  </si>
  <si>
    <t xml:space="preserve">02.01.01.0180. </t>
  </si>
  <si>
    <t xml:space="preserve">02.01.01.0190. </t>
  </si>
  <si>
    <t xml:space="preserve">02.01.01.0200. </t>
  </si>
  <si>
    <t xml:space="preserve">02.01.01.0210. </t>
  </si>
  <si>
    <t xml:space="preserve">02.01.01.0215. </t>
  </si>
  <si>
    <t xml:space="preserve">02.01.01.0220. </t>
  </si>
  <si>
    <t xml:space="preserve">02.01.01.0250. </t>
  </si>
  <si>
    <t xml:space="preserve">02.01.01.0260. </t>
  </si>
  <si>
    <t xml:space="preserve">02.01.01.0270. </t>
  </si>
  <si>
    <t xml:space="preserve">02.01.01.0280. </t>
  </si>
  <si>
    <t xml:space="preserve">02.01.01.0290. </t>
  </si>
  <si>
    <t xml:space="preserve">02.01.01.0300. </t>
  </si>
  <si>
    <t xml:space="preserve">02.01.01.0310. </t>
  </si>
  <si>
    <t xml:space="preserve">02.01.01.0320. </t>
  </si>
  <si>
    <t xml:space="preserve">02.01.01.0330. </t>
  </si>
  <si>
    <t>02.02.01.</t>
  </si>
  <si>
    <t xml:space="preserve">02.02.01.0010. </t>
  </si>
  <si>
    <t xml:space="preserve">02.02.01.0020. </t>
  </si>
  <si>
    <t xml:space="preserve">02.02.01.0030. </t>
  </si>
  <si>
    <t xml:space="preserve">02.02.01.0040. </t>
  </si>
  <si>
    <t xml:space="preserve">02.02.01.0050. </t>
  </si>
  <si>
    <t xml:space="preserve">02.02.01.0060. </t>
  </si>
  <si>
    <t xml:space="preserve">02.02.01.0070. </t>
  </si>
  <si>
    <t xml:space="preserve">02.02.01.0080. </t>
  </si>
  <si>
    <t xml:space="preserve">02.02.01.0090. </t>
  </si>
  <si>
    <t xml:space="preserve">02.02.01.0100. </t>
  </si>
  <si>
    <t xml:space="preserve">02.02.01.0110. </t>
  </si>
  <si>
    <t xml:space="preserve">02.02.01.0120. </t>
  </si>
  <si>
    <t xml:space="preserve">02.02.01.0130. </t>
  </si>
  <si>
    <t>02.02.02.</t>
  </si>
  <si>
    <t xml:space="preserve">02.02.02.0010. </t>
  </si>
  <si>
    <t xml:space="preserve">02.02.02.0020. </t>
  </si>
  <si>
    <t xml:space="preserve">02.02.02.0030. </t>
  </si>
  <si>
    <t xml:space="preserve">02.02.02.0040. </t>
  </si>
  <si>
    <t xml:space="preserve">02.02.02.0050. </t>
  </si>
  <si>
    <t>02.02.03.</t>
  </si>
  <si>
    <t xml:space="preserve">02.02.03.0010. </t>
  </si>
  <si>
    <t xml:space="preserve">02.02.03.0020. </t>
  </si>
  <si>
    <t xml:space="preserve">02.02.03.0040. </t>
  </si>
  <si>
    <t xml:space="preserve">02.02.03.0050. </t>
  </si>
  <si>
    <t>03.</t>
  </si>
  <si>
    <t>03.01.01.</t>
  </si>
  <si>
    <t xml:space="preserve">03.01.01.0010. </t>
  </si>
  <si>
    <t xml:space="preserve">03.01.01.0080. </t>
  </si>
  <si>
    <t xml:space="preserve">03.01.01.0090. </t>
  </si>
  <si>
    <t xml:space="preserve">03.01.01.0100. </t>
  </si>
  <si>
    <t xml:space="preserve">03.01.01.0110. </t>
  </si>
  <si>
    <t xml:space="preserve">03.01.01.0130. </t>
  </si>
  <si>
    <t xml:space="preserve">03.01.01.0140. </t>
  </si>
  <si>
    <t xml:space="preserve">03.01.01.0150. </t>
  </si>
  <si>
    <t xml:space="preserve">03.01.01.0160. </t>
  </si>
  <si>
    <t xml:space="preserve">03.01.01.0180. </t>
  </si>
  <si>
    <t xml:space="preserve">03.01.01.0190. </t>
  </si>
  <si>
    <t xml:space="preserve">03.01.01.0200. </t>
  </si>
  <si>
    <t xml:space="preserve">03.01.01.0210. </t>
  </si>
  <si>
    <t xml:space="preserve">03.01.01.0215. </t>
  </si>
  <si>
    <t xml:space="preserve">03.01.01.0220. </t>
  </si>
  <si>
    <t xml:space="preserve">03.01.01.0250. </t>
  </si>
  <si>
    <t xml:space="preserve">03.01.01.0260. </t>
  </si>
  <si>
    <t xml:space="preserve">03.01.01.0270. </t>
  </si>
  <si>
    <t xml:space="preserve">03.01.01.0280. </t>
  </si>
  <si>
    <t xml:space="preserve">03.01.01.0290. </t>
  </si>
  <si>
    <t xml:space="preserve">03.01.01.0300. </t>
  </si>
  <si>
    <t xml:space="preserve">03.01.01.0310. </t>
  </si>
  <si>
    <t xml:space="preserve">03.01.01.0320. </t>
  </si>
  <si>
    <t xml:space="preserve">03.01.01.0330. </t>
  </si>
  <si>
    <t>03.02.01.</t>
  </si>
  <si>
    <t xml:space="preserve">03.02.01.0010. </t>
  </si>
  <si>
    <t xml:space="preserve">03.02.01.0020. </t>
  </si>
  <si>
    <t xml:space="preserve">03.02.01.0030. </t>
  </si>
  <si>
    <t xml:space="preserve">03.02.01.0040. </t>
  </si>
  <si>
    <t xml:space="preserve">03.02.01.0050. </t>
  </si>
  <si>
    <t xml:space="preserve">03.02.01.0060. </t>
  </si>
  <si>
    <t xml:space="preserve">03.02.01.0070. </t>
  </si>
  <si>
    <t xml:space="preserve">03.02.01.0080. </t>
  </si>
  <si>
    <t xml:space="preserve">03.02.01.0090. </t>
  </si>
  <si>
    <t xml:space="preserve">03.02.01.0100. </t>
  </si>
  <si>
    <t xml:space="preserve">03.02.01.0110. </t>
  </si>
  <si>
    <t xml:space="preserve">03.02.01.0120. </t>
  </si>
  <si>
    <t xml:space="preserve">03.02.01.0130. </t>
  </si>
  <si>
    <t>03.02.02.</t>
  </si>
  <si>
    <t xml:space="preserve">03.02.02.0010. </t>
  </si>
  <si>
    <t xml:space="preserve">03.02.02.0020. </t>
  </si>
  <si>
    <t xml:space="preserve">03.02.02.0030. </t>
  </si>
  <si>
    <t xml:space="preserve">03.02.02.0040. </t>
  </si>
  <si>
    <t xml:space="preserve">03.02.02.0050. </t>
  </si>
  <si>
    <t>03.02.03.</t>
  </si>
  <si>
    <t xml:space="preserve">03.02.03.0010. </t>
  </si>
  <si>
    <t xml:space="preserve">03.02.03.0020. </t>
  </si>
  <si>
    <t xml:space="preserve">03.02.03.0040. </t>
  </si>
  <si>
    <t xml:space="preserve">03.02.03.0050. </t>
  </si>
  <si>
    <t>04.</t>
  </si>
  <si>
    <t>04.01.</t>
  </si>
  <si>
    <t xml:space="preserve">04.01.  .0020. </t>
  </si>
  <si>
    <t xml:space="preserve">04.01.  .0100. </t>
  </si>
  <si>
    <t xml:space="preserve">04.01.  .0110. </t>
  </si>
  <si>
    <t xml:space="preserve">04.01.  .0120. </t>
  </si>
  <si>
    <t xml:space="preserve">04.01.  .0130. </t>
  </si>
  <si>
    <t xml:space="preserve">04.01.  .0140. </t>
  </si>
  <si>
    <t xml:space="preserve">04.01.  .0150. </t>
  </si>
  <si>
    <t xml:space="preserve">04.01.  .0160. </t>
  </si>
  <si>
    <t xml:space="preserve">04.01.  .0180. </t>
  </si>
  <si>
    <t xml:space="preserve">04.01.  .0190. </t>
  </si>
  <si>
    <t xml:space="preserve">04.01.  .0200. </t>
  </si>
  <si>
    <t xml:space="preserve">04.01.  .0210. </t>
  </si>
  <si>
    <t xml:space="preserve">04.01.  .0220. </t>
  </si>
  <si>
    <t xml:space="preserve">04.01.  .0250. </t>
  </si>
  <si>
    <t xml:space="preserve">04.01.  .0260. </t>
  </si>
  <si>
    <t xml:space="preserve">04.01.  .0270. </t>
  </si>
  <si>
    <t xml:space="preserve">04.01.  .0280. </t>
  </si>
  <si>
    <t xml:space="preserve">04.01.  .0290. </t>
  </si>
  <si>
    <t xml:space="preserve">04.01.  .0300. </t>
  </si>
  <si>
    <t xml:space="preserve">04.01.  .0310. </t>
  </si>
  <si>
    <t xml:space="preserve">04.01.  .0320. </t>
  </si>
  <si>
    <t xml:space="preserve">04.01.  .0330. </t>
  </si>
  <si>
    <t>04.02.01.</t>
  </si>
  <si>
    <t xml:space="preserve">04.02.01.0010. </t>
  </si>
  <si>
    <t xml:space="preserve">04.02.01.0020. </t>
  </si>
  <si>
    <t xml:space="preserve">04.02.01.0030. </t>
  </si>
  <si>
    <t xml:space="preserve">04.02.01.0040. </t>
  </si>
  <si>
    <t xml:space="preserve">04.02.01.0050. </t>
  </si>
  <si>
    <t xml:space="preserve">04.02.01.0060. </t>
  </si>
  <si>
    <t xml:space="preserve">04.02.01.0070. </t>
  </si>
  <si>
    <t xml:space="preserve">04.02.01.0080. </t>
  </si>
  <si>
    <t xml:space="preserve">04.02.01.0090. </t>
  </si>
  <si>
    <t xml:space="preserve">04.02.01.0100. </t>
  </si>
  <si>
    <t xml:space="preserve">04.02.01.0110. </t>
  </si>
  <si>
    <t xml:space="preserve">04.02.01.0120. </t>
  </si>
  <si>
    <t xml:space="preserve">04.02.01.0130. </t>
  </si>
  <si>
    <t>04.02.02.</t>
  </si>
  <si>
    <t xml:space="preserve">04.02.02.0010. </t>
  </si>
  <si>
    <t xml:space="preserve">04.02.02.0020. </t>
  </si>
  <si>
    <t xml:space="preserve">04.02.02.0030. </t>
  </si>
  <si>
    <t xml:space="preserve">04.02.02.0040. </t>
  </si>
  <si>
    <t xml:space="preserve">04.02.02.0050. </t>
  </si>
  <si>
    <t>Bo,XA</t>
  </si>
  <si>
    <t>Mietbereich Lorenz 2. + 3. OG</t>
  </si>
  <si>
    <t>Trockenbauarbeiten - Wände</t>
  </si>
  <si>
    <t>GK-Metallständerwand W112, F0, Q3, d= 100mm, 2x 12,5mm beidseitig GKB</t>
  </si>
  <si>
    <t>GK-Metallständerwand W112, F0, Q3, d= 125mm, 2x 12,5mm beidseitig GKB</t>
  </si>
  <si>
    <t>GK-Installationswand W116, F0,  Q3, h=3,30m</t>
  </si>
  <si>
    <t>GK-Installationswand W116, F0,  Q3, h=1,50m</t>
  </si>
  <si>
    <t>Zulage Spachtelung Q4</t>
  </si>
  <si>
    <t>Zulage für horizontale Beplankung Vorsatzschale, b=250mm, 2x 12,5 mm einseitig GKB</t>
  </si>
  <si>
    <t>Gleitenden Deckenanschluss</t>
  </si>
  <si>
    <t>Zulage Freistehende Wandenden</t>
  </si>
  <si>
    <t>Zulage Außenecken</t>
  </si>
  <si>
    <t>Zulage Übergangsprofil</t>
  </si>
  <si>
    <t>Anschluss Fassade Außenwand Fassadenschwert</t>
  </si>
  <si>
    <t>Türöffnung 1- flg., B/H 760 - 1010/2135 mm, WD 100 - 125 mm</t>
  </si>
  <si>
    <t>Türöffnung 1- flg. B/H 1135 - 1510/2135 mm, WD 100 - 125mm</t>
  </si>
  <si>
    <t>Türöffnung 2- flg. B/H 2010/2135 mm, WD 100 - 125mm</t>
  </si>
  <si>
    <t>Zulage zur eigentlichen Türöffnung (Türauschnitte verstärkt)</t>
  </si>
  <si>
    <t>Universal-Traverse für wandhängende Lasten</t>
  </si>
  <si>
    <t>Ausschnitte herstellen, Abmessungen bis 15 cm SL</t>
  </si>
  <si>
    <t>Ausschnitte herstellen, Abmessungen bis 30 cm SL</t>
  </si>
  <si>
    <t>Ausschnitte schließen, Abmessungen bis 15 cm SL</t>
  </si>
  <si>
    <t>Ausschnitte schließen, Abmessungen bis 30 cm SL</t>
  </si>
  <si>
    <t>Ausschnitte herstellen, Durchmesser bis 75 mm</t>
  </si>
  <si>
    <t>Ausschnitte herstellen, Durchmesser bis 150 mm</t>
  </si>
  <si>
    <t>Ausschnitte schließen, Durchmesser bis 75 mm</t>
  </si>
  <si>
    <t>Ausschnitte schließen, Durchmesser bis 150 mm</t>
  </si>
  <si>
    <t>Zulage für Ausschnitte in Deckenabschottung, bxh = 100 x 20cm</t>
  </si>
  <si>
    <t>Trockenbauarbeiten - GK-Decke</t>
  </si>
  <si>
    <t>D112 Unterdecke, F0, Q2, GKB 1x 12,5 mm</t>
  </si>
  <si>
    <t>Zulage 2-lagige Beplankung</t>
  </si>
  <si>
    <t>Zulage Bekleidung GKB-I, einseitig, 1x12,5mm</t>
  </si>
  <si>
    <t>Zulage Bekleidung GKB-I, einseitig, 2x12,5mm</t>
  </si>
  <si>
    <t>Zulage Verspachtelung Oberfläche  in Q3</t>
  </si>
  <si>
    <t>Wandanschluss mit Winkelprofil</t>
  </si>
  <si>
    <t>Kantenschutzprofil</t>
  </si>
  <si>
    <t>Öffnung herstellen, Abmessung bis 30cm SL (Beleuchtung)</t>
  </si>
  <si>
    <t>Öffnung herstellen, Durchmesser  bis Du =30cm (Beleuchtung)</t>
  </si>
  <si>
    <t>Revisionsklappe REVO 12,5 40x40 (Alutop)</t>
  </si>
  <si>
    <t>Revisionsklappe REVO 12,5 60x60 (Alutop)</t>
  </si>
  <si>
    <t>Revisionsklappe, REVO 12,5 40x40 (Alutop), F90</t>
  </si>
  <si>
    <t>Revisionsklappe REVO 12,5 60x60 (Alutop), F90</t>
  </si>
  <si>
    <t>Trockenbauarbeiten - Akustikdecke</t>
  </si>
  <si>
    <t>Akustikdecke inkl. umlaufenden Fries, Fabr. Knauf Cleaneo Akustikdecke D127</t>
  </si>
  <si>
    <t>Zulage für Wandanschluss mit Stufenwinklel und Schattenfuge</t>
  </si>
  <si>
    <t>Deckenschürze, senkrecht, 2x12,5mm GKB, h=ca.40cm</t>
  </si>
  <si>
    <t>Öffnungen für Leuchten/Lautsprecher o. ä., rund, bis Du=300mm</t>
  </si>
  <si>
    <t>Öffnungen für Leuchten/Lautsprecher o. ä., eckig, bis 300x300mm</t>
  </si>
  <si>
    <t>Trockenbauarbeiten - GK-Deckenschürze</t>
  </si>
  <si>
    <t>Deckenschürze,  h= ca.0,67 m (Alu-Blechdecke)</t>
  </si>
  <si>
    <t>Deckenschürze,  h= ca.0,90 m (Akustikdecke)</t>
  </si>
  <si>
    <t>Deckenabkofferung, b=ca. 1,50m, h=ca. 0,60m</t>
  </si>
  <si>
    <t>Zulage für Eckschutzprofil</t>
  </si>
  <si>
    <t>Mietbereich DWD EG + 4.OG</t>
  </si>
  <si>
    <t>GK-Metallständerwand W112, F0, Q3, d= 150mm, 2x 12,5mm beidseitig GKB</t>
  </si>
  <si>
    <t>GK-Metallständerwand W112, F90, Q3, d= 100mm, 2x 12,5mm beidseitig GKF</t>
  </si>
  <si>
    <t>Mietbereich Kone 1.OG</t>
  </si>
  <si>
    <t>Musterbüro 5.OG</t>
  </si>
  <si>
    <t>Zulage für Beplankung GKB-I, 2x 12,5 mm, einseitig</t>
  </si>
  <si>
    <t>m2</t>
  </si>
  <si>
    <t>m</t>
  </si>
  <si>
    <t>Stck</t>
  </si>
  <si>
    <t>Nettosumme [€]</t>
  </si>
  <si>
    <t>Nachlass</t>
  </si>
  <si>
    <t>Gesamtsumme netto [€]</t>
  </si>
  <si>
    <t>Nidda, den</t>
  </si>
  <si>
    <t>Budget:</t>
  </si>
  <si>
    <t>Titelzusammenstellung:</t>
  </si>
  <si>
    <t>NEP</t>
  </si>
  <si>
    <t>Mayer</t>
  </si>
  <si>
    <t>Lindt</t>
  </si>
  <si>
    <t>Hartig</t>
  </si>
  <si>
    <t>Pitkowski</t>
  </si>
  <si>
    <t>K+S Ausbau</t>
  </si>
  <si>
    <t>Interakustik</t>
  </si>
  <si>
    <t>05374-965910</t>
  </si>
  <si>
    <t>069-870042856</t>
  </si>
  <si>
    <t>0611-97161227</t>
  </si>
  <si>
    <t>06182-21001</t>
  </si>
  <si>
    <t>06172-9989450</t>
  </si>
  <si>
    <t>06043-8409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</si>
</sst>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2" xfId="0" applyFont="1" applyBorder="1"/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/>
    <xf numFmtId="0" fontId="2" fillId="0" borderId="0" xfId="0" applyFont="1"/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2" fillId="0" borderId="5" xfId="0" applyNumberFormat="1" applyFont="1" applyBorder="1"/>
    <xf numFmtId="0" fontId="2" fillId="0" borderId="6" xfId="0" applyFont="1" applyBorder="1"/>
    <xf numFmtId="0" fontId="3" fillId="0" borderId="4" xfId="0" applyFont="1" applyBorder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/>
    <xf numFmtId="2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2" fontId="2" fillId="0" borderId="1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4" xfId="0" applyBorder="1"/>
    <xf numFmtId="4" fontId="0" fillId="0" borderId="0" xfId="0" applyNumberFormat="1"/>
    <xf numFmtId="0" fontId="2" fillId="2" borderId="1" xfId="0" applyNumberFormat="1" applyFont="1" applyFill="1" applyBorder="1"/>
    <xf numFmtId="0" fontId="2" fillId="2" borderId="3" xfId="0" applyNumberFormat="1" applyFont="1" applyFill="1" applyBorder="1"/>
    <xf numFmtId="0" fontId="2" fillId="0" borderId="4" xfId="0" applyNumberFormat="1" applyFont="1" applyBorder="1"/>
    <xf numFmtId="0" fontId="2" fillId="0" borderId="5" xfId="0" applyNumberFormat="1" applyFont="1" applyBorder="1"/>
    <xf numFmtId="0" fontId="2" fillId="0" borderId="6" xfId="0" applyNumberFormat="1" applyFont="1" applyBorder="1"/>
    <xf numFmtId="0" fontId="4" fillId="0" borderId="4" xfId="0" applyNumberFormat="1" applyFont="1" applyBorder="1"/>
    <xf numFmtId="0" fontId="5" fillId="0" borderId="4" xfId="0" applyNumberFormat="1" applyFont="1" applyBorder="1"/>
    <xf numFmtId="0" fontId="5" fillId="0" borderId="5" xfId="0" applyNumberFormat="1" applyFont="1" applyBorder="1"/>
    <xf numFmtId="0" fontId="3" fillId="0" borderId="4" xfId="0" applyNumberFormat="1" applyFont="1" applyBorder="1" applyAlignment="1">
      <alignment horizontal="right"/>
    </xf>
    <xf numFmtId="0" fontId="3" fillId="0" borderId="5" xfId="0" applyNumberFormat="1" applyFont="1" applyBorder="1" applyAlignment="1">
      <alignment horizontal="right"/>
    </xf>
    <xf numFmtId="0" fontId="3" fillId="0" borderId="6" xfId="0" applyNumberFormat="1" applyFont="1" applyBorder="1" applyAlignment="1">
      <alignment horizontal="right"/>
    </xf>
    <xf numFmtId="0" fontId="3" fillId="0" borderId="8" xfId="0" applyNumberFormat="1" applyFont="1" applyBorder="1" applyAlignment="1">
      <alignment horizontal="right"/>
    </xf>
    <xf numFmtId="0" fontId="2" fillId="0" borderId="11" xfId="0" applyNumberFormat="1" applyFont="1" applyBorder="1" applyAlignment="1">
      <alignment horizontal="center"/>
    </xf>
    <xf numFmtId="0" fontId="2" fillId="0" borderId="12" xfId="0" applyNumberFormat="1" applyFont="1" applyBorder="1" applyAlignment="1">
      <alignment horizontal="center"/>
    </xf>
    <xf numFmtId="2" fontId="0" fillId="0" borderId="16" xfId="0" applyNumberFormat="1" applyBorder="1"/>
    <xf numFmtId="0" fontId="0" fillId="0" borderId="17" xfId="0" applyBorder="1" applyAlignment="1">
      <alignment horizontal="right"/>
    </xf>
    <xf numFmtId="4" fontId="0" fillId="0" borderId="16" xfId="0" applyNumberFormat="1" applyBorder="1"/>
    <xf numFmtId="4" fontId="0" fillId="0" borderId="17" xfId="0" applyNumberFormat="1" applyBorder="1"/>
    <xf numFmtId="0" fontId="1" fillId="0" borderId="14" xfId="0" applyFont="1" applyBorder="1"/>
    <xf numFmtId="2" fontId="1" fillId="0" borderId="16" xfId="0" applyNumberFormat="1" applyFont="1" applyBorder="1"/>
    <xf numFmtId="0" fontId="1" fillId="0" borderId="17" xfId="0" applyFont="1" applyBorder="1" applyAlignment="1">
      <alignment horizontal="right"/>
    </xf>
    <xf numFmtId="4" fontId="1" fillId="0" borderId="16" xfId="0" applyNumberFormat="1" applyFont="1" applyBorder="1"/>
    <xf numFmtId="4" fontId="1" fillId="0" borderId="17" xfId="0" applyNumberFormat="1" applyFont="1" applyBorder="1"/>
    <xf numFmtId="0" fontId="1" fillId="0" borderId="15" xfId="0" applyFont="1" applyBorder="1"/>
    <xf numFmtId="0" fontId="1" fillId="2" borderId="14" xfId="0" applyFont="1" applyFill="1" applyBorder="1"/>
    <xf numFmtId="2" fontId="1" fillId="2" borderId="16" xfId="0" applyNumberFormat="1" applyFont="1" applyFill="1" applyBorder="1"/>
    <xf numFmtId="0" fontId="1" fillId="2" borderId="17" xfId="0" applyFont="1" applyFill="1" applyBorder="1" applyAlignment="1">
      <alignment horizontal="right"/>
    </xf>
    <xf numFmtId="4" fontId="1" fillId="2" borderId="17" xfId="0" applyNumberFormat="1" applyFont="1" applyFill="1" applyBorder="1"/>
    <xf numFmtId="10" fontId="1" fillId="2" borderId="16" xfId="0" applyNumberFormat="1" applyFont="1" applyFill="1" applyBorder="1"/>
    <xf numFmtId="0" fontId="1" fillId="0" borderId="0" xfId="0" applyFont="1" applyFill="1" applyBorder="1"/>
    <xf numFmtId="0" fontId="0" fillId="0" borderId="0" xfId="0" applyFill="1"/>
    <xf numFmtId="0" fontId="6" fillId="0" borderId="0" xfId="0" applyFont="1" applyFill="1" applyBorder="1"/>
    <xf numFmtId="0" fontId="1" fillId="3" borderId="13" xfId="0" applyFont="1" applyFill="1" applyBorder="1"/>
    <xf numFmtId="2" fontId="1" fillId="3" borderId="18" xfId="0" applyNumberFormat="1" applyFont="1" applyFill="1" applyBorder="1"/>
    <xf numFmtId="0" fontId="1" fillId="3" borderId="19" xfId="0" applyFont="1" applyFill="1" applyBorder="1" applyAlignment="1">
      <alignment horizontal="right"/>
    </xf>
    <xf numFmtId="4" fontId="1" fillId="3" borderId="18" xfId="0" applyNumberFormat="1" applyFont="1" applyFill="1" applyBorder="1"/>
    <xf numFmtId="4" fontId="1" fillId="3" borderId="19" xfId="0" applyNumberFormat="1" applyFont="1" applyFill="1" applyBorder="1"/>
    <xf numFmtId="0" fontId="1" fillId="3" borderId="14" xfId="0" applyFont="1" applyFill="1" applyBorder="1"/>
    <xf numFmtId="2" fontId="1" fillId="0" borderId="16" xfId="0" applyNumberFormat="1" applyFont="1" applyFill="1" applyBorder="1"/>
    <xf numFmtId="0" fontId="1" fillId="0" borderId="17" xfId="0" applyFont="1" applyFill="1" applyBorder="1" applyAlignment="1">
      <alignment horizontal="right"/>
    </xf>
    <xf numFmtId="4" fontId="1" fillId="0" borderId="16" xfId="0" applyNumberFormat="1" applyFont="1" applyFill="1" applyBorder="1"/>
    <xf numFmtId="4" fontId="1" fillId="0" borderId="17" xfId="0" applyNumberFormat="1" applyFont="1" applyFill="1" applyBorder="1"/>
    <xf numFmtId="0" fontId="1" fillId="0" borderId="0" xfId="0" applyFont="1"/>
    <xf numFmtId="4" fontId="0" fillId="0" borderId="17" xfId="0" applyNumberFormat="1" applyBorder="1" applyAlignment="1">
      <alignment horizontal="right"/>
    </xf>
    <xf numFmtId="0" fontId="1" fillId="2" borderId="20" xfId="0" applyFont="1" applyFill="1" applyBorder="1"/>
    <xf numFmtId="0" fontId="1" fillId="2" borderId="21" xfId="0" applyFont="1" applyFill="1" applyBorder="1"/>
    <xf numFmtId="2" fontId="1" fillId="2" borderId="22" xfId="0" applyNumberFormat="1" applyFont="1" applyFill="1" applyBorder="1"/>
    <xf numFmtId="0" fontId="1" fillId="2" borderId="23" xfId="0" applyFont="1" applyFill="1" applyBorder="1" applyAlignment="1">
      <alignment horizontal="right"/>
    </xf>
    <xf numFmtId="4" fontId="1" fillId="2" borderId="22" xfId="0" applyNumberFormat="1" applyFont="1" applyFill="1" applyBorder="1"/>
    <xf numFmtId="4" fontId="1" fillId="2" borderId="23" xfId="0" applyNumberFormat="1" applyFont="1" applyFill="1" applyBorder="1"/>
    <xf numFmtId="4" fontId="1" fillId="2" borderId="3" xfId="0" applyNumberFormat="1" applyFont="1" applyFill="1" applyBorder="1"/>
    <xf numFmtId="0" fontId="1" fillId="2" borderId="24" xfId="0" applyFont="1" applyFill="1" applyBorder="1"/>
    <xf numFmtId="4" fontId="1" fillId="2" borderId="5" xfId="0" applyNumberFormat="1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2" fontId="1" fillId="2" borderId="27" xfId="0" applyNumberFormat="1" applyFont="1" applyFill="1" applyBorder="1"/>
    <xf numFmtId="0" fontId="1" fillId="2" borderId="28" xfId="0" applyFont="1" applyFill="1" applyBorder="1" applyAlignment="1">
      <alignment horizontal="right"/>
    </xf>
    <xf numFmtId="4" fontId="1" fillId="2" borderId="27" xfId="0" applyNumberFormat="1" applyFont="1" applyFill="1" applyBorder="1"/>
    <xf numFmtId="4" fontId="1" fillId="2" borderId="28" xfId="0" applyNumberFormat="1" applyFont="1" applyFill="1" applyBorder="1"/>
    <xf numFmtId="4" fontId="1" fillId="2" borderId="8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650D-7E81-4EE1-BB14-014EDA9F6DBA}">
  <dimension ref="A1:S256"/>
  <sheetViews>
    <sheetView tabSelected="1" workbookViewId="0">
      <pane ySplit="9" topLeftCell="A220" activePane="bottomLeft" state="frozen"/>
      <selection pane="bottomLeft" activeCell="G3" sqref="G3"/>
    </sheetView>
  </sheetViews>
  <sheetFormatPr baseColWidth="10" defaultRowHeight="14.4" x14ac:dyDescent="0.3"/>
  <cols>
    <col min="1" max="1" width="14.44140625" customWidth="1"/>
    <col min="2" max="2" width="8.33203125" customWidth="1"/>
    <col min="3" max="3" width="54.5546875" customWidth="1"/>
    <col min="5" max="5" width="8.44140625" customWidth="1"/>
    <col min="6" max="19" width="11.5546875" style="24"/>
  </cols>
  <sheetData>
    <row r="1" spans="1:19" x14ac:dyDescent="0.3">
      <c r="A1" s="1" t="s">
        <v>0</v>
      </c>
      <c r="B1" s="2"/>
      <c r="C1" s="3" t="s">
        <v>17</v>
      </c>
      <c r="D1" s="4"/>
      <c r="E1" s="5"/>
      <c r="F1" s="25" t="s">
        <v>1</v>
      </c>
      <c r="G1" s="26" t="s">
        <v>289</v>
      </c>
      <c r="H1" s="25" t="s">
        <v>1</v>
      </c>
      <c r="I1" s="26" t="s">
        <v>290</v>
      </c>
      <c r="J1" s="25" t="s">
        <v>1</v>
      </c>
      <c r="K1" s="26" t="s">
        <v>291</v>
      </c>
      <c r="L1" s="25" t="s">
        <v>1</v>
      </c>
      <c r="M1" s="26" t="s">
        <v>292</v>
      </c>
      <c r="N1" s="25" t="s">
        <v>1</v>
      </c>
      <c r="O1" s="26" t="s">
        <v>293</v>
      </c>
      <c r="P1" s="25" t="s">
        <v>1</v>
      </c>
      <c r="Q1" s="26" t="s">
        <v>294</v>
      </c>
      <c r="R1" s="25" t="s">
        <v>1</v>
      </c>
      <c r="S1" s="26"/>
    </row>
    <row r="2" spans="1:19" x14ac:dyDescent="0.3">
      <c r="A2" s="6"/>
      <c r="B2" s="7"/>
      <c r="C2" s="8"/>
      <c r="D2" s="9"/>
      <c r="E2" s="10"/>
      <c r="F2" s="27" t="s">
        <v>2</v>
      </c>
      <c r="G2" s="28" t="s">
        <v>300</v>
      </c>
      <c r="H2" s="27" t="s">
        <v>2</v>
      </c>
      <c r="I2" s="28" t="s">
        <v>296</v>
      </c>
      <c r="J2" s="27" t="s">
        <v>2</v>
      </c>
      <c r="K2" s="28" t="s">
        <v>298</v>
      </c>
      <c r="L2" s="27" t="s">
        <v>2</v>
      </c>
      <c r="M2" s="28" t="s">
        <v>297</v>
      </c>
      <c r="N2" s="27" t="s">
        <v>2</v>
      </c>
      <c r="O2" s="28" t="s">
        <v>299</v>
      </c>
      <c r="P2" s="27" t="s">
        <v>2</v>
      </c>
      <c r="Q2" s="28" t="s">
        <v>295</v>
      </c>
      <c r="R2" s="27" t="s">
        <v>2</v>
      </c>
      <c r="S2" s="28"/>
    </row>
    <row r="3" spans="1:19" ht="15" thickBot="1" x14ac:dyDescent="0.35">
      <c r="A3" s="6" t="s">
        <v>3</v>
      </c>
      <c r="B3" s="7"/>
      <c r="C3" s="8" t="s">
        <v>18</v>
      </c>
      <c r="D3" s="9"/>
      <c r="E3" s="10"/>
      <c r="F3" s="29" t="s">
        <v>4</v>
      </c>
      <c r="G3" s="11">
        <v>45595</v>
      </c>
      <c r="H3" s="29" t="s">
        <v>4</v>
      </c>
      <c r="I3" s="11">
        <v>45608</v>
      </c>
      <c r="J3" s="29" t="s">
        <v>4</v>
      </c>
      <c r="K3" s="11">
        <v>45600</v>
      </c>
      <c r="L3" s="29" t="s">
        <v>4</v>
      </c>
      <c r="M3" s="11">
        <v>45601</v>
      </c>
      <c r="N3" s="29" t="s">
        <v>4</v>
      </c>
      <c r="O3" s="11">
        <v>45595</v>
      </c>
      <c r="P3" s="29" t="s">
        <v>4</v>
      </c>
      <c r="Q3" s="11">
        <v>45607</v>
      </c>
      <c r="R3" s="29" t="s">
        <v>4</v>
      </c>
      <c r="S3" s="28"/>
    </row>
    <row r="4" spans="1:19" x14ac:dyDescent="0.3">
      <c r="A4" s="13"/>
      <c r="B4" s="7"/>
      <c r="C4" s="7"/>
      <c r="D4" s="9"/>
      <c r="E4" s="10"/>
      <c r="F4" s="30" t="s">
        <v>5</v>
      </c>
      <c r="G4" s="28"/>
      <c r="H4" s="30" t="s">
        <v>5</v>
      </c>
      <c r="I4" s="28"/>
      <c r="J4" s="30" t="s">
        <v>5</v>
      </c>
      <c r="K4" s="28"/>
      <c r="L4" s="30" t="s">
        <v>5</v>
      </c>
      <c r="M4" s="28"/>
      <c r="N4" s="30" t="s">
        <v>5</v>
      </c>
      <c r="O4" s="28"/>
      <c r="P4" s="30" t="s">
        <v>5</v>
      </c>
      <c r="Q4" s="28"/>
      <c r="R4" s="30" t="s">
        <v>5</v>
      </c>
      <c r="S4" s="28"/>
    </row>
    <row r="5" spans="1:19" x14ac:dyDescent="0.3">
      <c r="A5" s="13"/>
      <c r="B5" s="7"/>
      <c r="C5" s="7"/>
      <c r="D5" s="9"/>
      <c r="E5" s="10"/>
      <c r="F5" s="31" t="s">
        <v>6</v>
      </c>
      <c r="G5" s="32" t="s">
        <v>7</v>
      </c>
      <c r="H5" s="31" t="s">
        <v>6</v>
      </c>
      <c r="I5" s="32" t="s">
        <v>7</v>
      </c>
      <c r="J5" s="31" t="s">
        <v>6</v>
      </c>
      <c r="K5" s="32" t="s">
        <v>7</v>
      </c>
      <c r="L5" s="31" t="s">
        <v>6</v>
      </c>
      <c r="M5" s="32" t="s">
        <v>7</v>
      </c>
      <c r="N5" s="31" t="s">
        <v>6</v>
      </c>
      <c r="O5" s="32" t="s">
        <v>7</v>
      </c>
      <c r="P5" s="31" t="s">
        <v>6</v>
      </c>
      <c r="Q5" s="32" t="s">
        <v>7</v>
      </c>
      <c r="R5" s="31" t="s">
        <v>6</v>
      </c>
      <c r="S5" s="32" t="s">
        <v>7</v>
      </c>
    </row>
    <row r="6" spans="1:19" x14ac:dyDescent="0.3">
      <c r="A6" s="6"/>
      <c r="B6" s="8"/>
      <c r="C6" s="8"/>
      <c r="D6" s="14"/>
      <c r="E6" s="15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</row>
    <row r="7" spans="1:19" x14ac:dyDescent="0.3">
      <c r="A7" s="13"/>
      <c r="B7" s="7"/>
      <c r="C7" s="7"/>
      <c r="D7" s="9"/>
      <c r="E7" s="10"/>
      <c r="F7" s="31" t="s">
        <v>8</v>
      </c>
      <c r="G7" s="32" t="s">
        <v>9</v>
      </c>
      <c r="H7" s="31" t="s">
        <v>8</v>
      </c>
      <c r="I7" s="32" t="s">
        <v>9</v>
      </c>
      <c r="J7" s="31" t="s">
        <v>8</v>
      </c>
      <c r="K7" s="32" t="s">
        <v>9</v>
      </c>
      <c r="L7" s="31" t="s">
        <v>8</v>
      </c>
      <c r="M7" s="32" t="s">
        <v>9</v>
      </c>
      <c r="N7" s="31" t="s">
        <v>8</v>
      </c>
      <c r="O7" s="32" t="s">
        <v>9</v>
      </c>
      <c r="P7" s="31" t="s">
        <v>8</v>
      </c>
      <c r="Q7" s="32" t="s">
        <v>9</v>
      </c>
      <c r="R7" s="31" t="s">
        <v>8</v>
      </c>
      <c r="S7" s="32" t="s">
        <v>9</v>
      </c>
    </row>
    <row r="8" spans="1:19" ht="15" thickBot="1" x14ac:dyDescent="0.35">
      <c r="A8" s="12"/>
      <c r="B8" s="16"/>
      <c r="C8" s="16"/>
      <c r="D8" s="17"/>
      <c r="E8" s="18"/>
      <c r="F8" s="35"/>
      <c r="G8" s="36"/>
      <c r="H8" s="35"/>
      <c r="I8" s="36"/>
      <c r="J8" s="35"/>
      <c r="K8" s="36"/>
      <c r="L8" s="35"/>
      <c r="M8" s="36"/>
      <c r="N8" s="35"/>
      <c r="O8" s="36"/>
      <c r="P8" s="35"/>
      <c r="Q8" s="36"/>
      <c r="R8" s="35"/>
      <c r="S8" s="36"/>
    </row>
    <row r="9" spans="1:19" ht="15" thickBot="1" x14ac:dyDescent="0.35">
      <c r="A9" s="19" t="s">
        <v>10</v>
      </c>
      <c r="B9" s="19" t="s">
        <v>11</v>
      </c>
      <c r="C9" s="20" t="s">
        <v>12</v>
      </c>
      <c r="D9" s="21" t="s">
        <v>13</v>
      </c>
      <c r="E9" s="22" t="s">
        <v>14</v>
      </c>
      <c r="F9" s="37" t="s">
        <v>15</v>
      </c>
      <c r="G9" s="38" t="s">
        <v>16</v>
      </c>
      <c r="H9" s="37" t="s">
        <v>15</v>
      </c>
      <c r="I9" s="38" t="s">
        <v>16</v>
      </c>
      <c r="J9" s="37" t="s">
        <v>15</v>
      </c>
      <c r="K9" s="38" t="s">
        <v>16</v>
      </c>
      <c r="L9" s="37" t="s">
        <v>15</v>
      </c>
      <c r="M9" s="38" t="s">
        <v>16</v>
      </c>
      <c r="N9" s="37" t="s">
        <v>15</v>
      </c>
      <c r="O9" s="38" t="s">
        <v>16</v>
      </c>
      <c r="P9" s="37" t="s">
        <v>15</v>
      </c>
      <c r="Q9" s="38" t="s">
        <v>16</v>
      </c>
      <c r="R9" s="37" t="s">
        <v>15</v>
      </c>
      <c r="S9" s="38" t="s">
        <v>16</v>
      </c>
    </row>
    <row r="10" spans="1:19" x14ac:dyDescent="0.3">
      <c r="A10" s="23"/>
      <c r="B10" s="23"/>
      <c r="C10" s="23"/>
      <c r="D10" s="39"/>
      <c r="E10" s="40"/>
      <c r="F10" s="41"/>
      <c r="G10" s="42"/>
      <c r="H10" s="41"/>
      <c r="I10" s="42"/>
      <c r="J10" s="41"/>
      <c r="K10" s="42"/>
      <c r="L10" s="41"/>
      <c r="M10" s="42"/>
      <c r="N10" s="41"/>
      <c r="O10" s="42"/>
      <c r="P10" s="41"/>
      <c r="Q10" s="42"/>
      <c r="R10" s="41"/>
      <c r="S10" s="42"/>
    </row>
    <row r="11" spans="1:19" x14ac:dyDescent="0.3">
      <c r="A11" s="62" t="s">
        <v>19</v>
      </c>
      <c r="B11" s="62"/>
      <c r="C11" s="62" t="s">
        <v>221</v>
      </c>
      <c r="D11" s="63"/>
      <c r="E11" s="64"/>
      <c r="F11" s="65"/>
      <c r="G11" s="66"/>
      <c r="H11" s="65"/>
      <c r="I11" s="66"/>
      <c r="J11" s="65"/>
      <c r="K11" s="66"/>
      <c r="L11" s="65"/>
      <c r="M11" s="66"/>
      <c r="N11" s="65"/>
      <c r="O11" s="66"/>
      <c r="P11" s="65"/>
      <c r="Q11" s="66"/>
      <c r="R11" s="65"/>
      <c r="S11" s="66"/>
    </row>
    <row r="12" spans="1:19" x14ac:dyDescent="0.3">
      <c r="A12" s="23" t="s">
        <v>21</v>
      </c>
      <c r="B12" s="23"/>
      <c r="C12" s="23" t="s">
        <v>223</v>
      </c>
      <c r="D12" s="39">
        <v>1009</v>
      </c>
      <c r="E12" s="40" t="s">
        <v>279</v>
      </c>
      <c r="F12" s="41">
        <v>54</v>
      </c>
      <c r="G12" s="42">
        <f>$D12*F12</f>
        <v>54486</v>
      </c>
      <c r="H12" s="41">
        <v>61.5</v>
      </c>
      <c r="I12" s="42">
        <f>$D12*H12</f>
        <v>62053.5</v>
      </c>
      <c r="J12" s="41">
        <v>60.5</v>
      </c>
      <c r="K12" s="42">
        <f>$D12*J12</f>
        <v>61044.5</v>
      </c>
      <c r="L12" s="41">
        <v>59.95</v>
      </c>
      <c r="M12" s="42">
        <f>$D12*L12</f>
        <v>60489.55</v>
      </c>
      <c r="N12" s="41">
        <v>54.1</v>
      </c>
      <c r="O12" s="42">
        <f>$D12*N12</f>
        <v>54586.9</v>
      </c>
      <c r="P12" s="41">
        <v>59.9</v>
      </c>
      <c r="Q12" s="42">
        <f>$D12*P12</f>
        <v>60439.1</v>
      </c>
      <c r="R12" s="41">
        <v>0</v>
      </c>
      <c r="S12" s="42">
        <f>$D12*R12</f>
        <v>0</v>
      </c>
    </row>
    <row r="13" spans="1:19" x14ac:dyDescent="0.3">
      <c r="A13" s="23" t="s">
        <v>22</v>
      </c>
      <c r="B13" s="23"/>
      <c r="C13" s="23" t="s">
        <v>224</v>
      </c>
      <c r="D13" s="39">
        <v>225</v>
      </c>
      <c r="E13" s="40" t="s">
        <v>279</v>
      </c>
      <c r="F13" s="41">
        <v>56</v>
      </c>
      <c r="G13" s="42">
        <f t="shared" ref="G13:I27" si="0">$D13*F13</f>
        <v>12600</v>
      </c>
      <c r="H13" s="41">
        <v>62.6</v>
      </c>
      <c r="I13" s="42">
        <f t="shared" si="0"/>
        <v>14085</v>
      </c>
      <c r="J13" s="41">
        <v>61.5</v>
      </c>
      <c r="K13" s="42">
        <f t="shared" ref="K13" si="1">$D13*J13</f>
        <v>13837.5</v>
      </c>
      <c r="L13" s="41">
        <v>60.95</v>
      </c>
      <c r="M13" s="42">
        <f t="shared" ref="M13" si="2">$D13*L13</f>
        <v>13713.75</v>
      </c>
      <c r="N13" s="41">
        <v>55.25</v>
      </c>
      <c r="O13" s="42">
        <f t="shared" ref="O13" si="3">$D13*N13</f>
        <v>12431.25</v>
      </c>
      <c r="P13" s="41">
        <v>62.6</v>
      </c>
      <c r="Q13" s="42">
        <f t="shared" ref="Q13" si="4">$D13*P13</f>
        <v>14085</v>
      </c>
      <c r="R13" s="41">
        <v>0</v>
      </c>
      <c r="S13" s="42">
        <f t="shared" ref="S13" si="5">$D13*R13</f>
        <v>0</v>
      </c>
    </row>
    <row r="14" spans="1:19" x14ac:dyDescent="0.3">
      <c r="A14" s="23" t="s">
        <v>23</v>
      </c>
      <c r="B14" s="23"/>
      <c r="C14" s="23" t="s">
        <v>225</v>
      </c>
      <c r="D14" s="39">
        <v>26</v>
      </c>
      <c r="E14" s="40" t="s">
        <v>279</v>
      </c>
      <c r="F14" s="41">
        <v>65</v>
      </c>
      <c r="G14" s="42">
        <f t="shared" si="0"/>
        <v>1690</v>
      </c>
      <c r="H14" s="41">
        <v>79.5</v>
      </c>
      <c r="I14" s="42">
        <f t="shared" si="0"/>
        <v>2067</v>
      </c>
      <c r="J14" s="41">
        <v>78</v>
      </c>
      <c r="K14" s="42">
        <f t="shared" ref="K14" si="6">$D14*J14</f>
        <v>2028</v>
      </c>
      <c r="L14" s="41">
        <v>85.5</v>
      </c>
      <c r="M14" s="42">
        <f t="shared" ref="M14" si="7">$D14*L14</f>
        <v>2223</v>
      </c>
      <c r="N14" s="41">
        <v>77.5</v>
      </c>
      <c r="O14" s="42">
        <f t="shared" ref="O14" si="8">$D14*N14</f>
        <v>2015</v>
      </c>
      <c r="P14" s="41">
        <v>77.8</v>
      </c>
      <c r="Q14" s="42">
        <f t="shared" ref="Q14" si="9">$D14*P14</f>
        <v>2022.8</v>
      </c>
      <c r="R14" s="41">
        <v>0</v>
      </c>
      <c r="S14" s="42">
        <f t="shared" ref="S14" si="10">$D14*R14</f>
        <v>0</v>
      </c>
    </row>
    <row r="15" spans="1:19" x14ac:dyDescent="0.3">
      <c r="A15" s="23" t="s">
        <v>24</v>
      </c>
      <c r="B15" s="23"/>
      <c r="C15" s="23" t="s">
        <v>226</v>
      </c>
      <c r="D15" s="39">
        <v>12</v>
      </c>
      <c r="E15" s="40" t="s">
        <v>279</v>
      </c>
      <c r="F15" s="41">
        <v>65</v>
      </c>
      <c r="G15" s="42">
        <f t="shared" si="0"/>
        <v>780</v>
      </c>
      <c r="H15" s="41">
        <v>115</v>
      </c>
      <c r="I15" s="42">
        <f t="shared" si="0"/>
        <v>1380</v>
      </c>
      <c r="J15" s="41">
        <v>128</v>
      </c>
      <c r="K15" s="42">
        <f t="shared" ref="K15" si="11">$D15*J15</f>
        <v>1536</v>
      </c>
      <c r="L15" s="41">
        <v>95</v>
      </c>
      <c r="M15" s="42">
        <f t="shared" ref="M15" si="12">$D15*L15</f>
        <v>1140</v>
      </c>
      <c r="N15" s="41">
        <v>79.900000000000006</v>
      </c>
      <c r="O15" s="42">
        <f t="shared" ref="O15" si="13">$D15*N15</f>
        <v>958.80000000000007</v>
      </c>
      <c r="P15" s="41">
        <v>97.2</v>
      </c>
      <c r="Q15" s="42">
        <f t="shared" ref="Q15" si="14">$D15*P15</f>
        <v>1166.4000000000001</v>
      </c>
      <c r="R15" s="41">
        <v>0</v>
      </c>
      <c r="S15" s="42">
        <f t="shared" ref="S15" si="15">$D15*R15</f>
        <v>0</v>
      </c>
    </row>
    <row r="16" spans="1:19" x14ac:dyDescent="0.3">
      <c r="A16" s="23" t="s">
        <v>25</v>
      </c>
      <c r="B16" s="23" t="s">
        <v>220</v>
      </c>
      <c r="C16" s="23" t="s">
        <v>227</v>
      </c>
      <c r="D16" s="39">
        <v>10</v>
      </c>
      <c r="E16" s="40" t="s">
        <v>279</v>
      </c>
      <c r="F16" s="41">
        <v>6.95</v>
      </c>
      <c r="G16" s="68" t="s">
        <v>288</v>
      </c>
      <c r="H16" s="41">
        <v>20</v>
      </c>
      <c r="I16" s="68" t="s">
        <v>288</v>
      </c>
      <c r="J16" s="41">
        <v>13</v>
      </c>
      <c r="K16" s="68" t="s">
        <v>288</v>
      </c>
      <c r="L16" s="41">
        <v>5</v>
      </c>
      <c r="M16" s="68" t="s">
        <v>288</v>
      </c>
      <c r="N16" s="41">
        <v>18</v>
      </c>
      <c r="O16" s="68" t="s">
        <v>288</v>
      </c>
      <c r="P16" s="41">
        <v>112.9</v>
      </c>
      <c r="Q16" s="68" t="s">
        <v>288</v>
      </c>
      <c r="R16" s="41">
        <v>0</v>
      </c>
      <c r="S16" s="68" t="s">
        <v>288</v>
      </c>
    </row>
    <row r="17" spans="1:19" x14ac:dyDescent="0.3">
      <c r="A17" s="23" t="s">
        <v>26</v>
      </c>
      <c r="B17" s="23" t="s">
        <v>220</v>
      </c>
      <c r="C17" s="23" t="s">
        <v>228</v>
      </c>
      <c r="D17" s="39">
        <v>1</v>
      </c>
      <c r="E17" s="40" t="s">
        <v>279</v>
      </c>
      <c r="F17" s="41">
        <v>2</v>
      </c>
      <c r="G17" s="68" t="s">
        <v>288</v>
      </c>
      <c r="H17" s="41">
        <v>20</v>
      </c>
      <c r="I17" s="68" t="s">
        <v>288</v>
      </c>
      <c r="J17" s="41">
        <v>50</v>
      </c>
      <c r="K17" s="68" t="s">
        <v>288</v>
      </c>
      <c r="L17" s="41">
        <v>6.5</v>
      </c>
      <c r="M17" s="68" t="s">
        <v>288</v>
      </c>
      <c r="N17" s="41">
        <v>46.2</v>
      </c>
      <c r="O17" s="68" t="s">
        <v>288</v>
      </c>
      <c r="P17" s="41">
        <v>102.7</v>
      </c>
      <c r="Q17" s="68" t="s">
        <v>288</v>
      </c>
      <c r="R17" s="41">
        <v>0</v>
      </c>
      <c r="S17" s="68" t="s">
        <v>288</v>
      </c>
    </row>
    <row r="18" spans="1:19" x14ac:dyDescent="0.3">
      <c r="A18" s="23" t="s">
        <v>27</v>
      </c>
      <c r="B18" s="23"/>
      <c r="C18" s="23" t="s">
        <v>229</v>
      </c>
      <c r="D18" s="39">
        <v>120</v>
      </c>
      <c r="E18" s="40" t="s">
        <v>280</v>
      </c>
      <c r="F18" s="41">
        <v>7.5</v>
      </c>
      <c r="G18" s="42">
        <f t="shared" si="0"/>
        <v>900</v>
      </c>
      <c r="H18" s="41">
        <v>21</v>
      </c>
      <c r="I18" s="42">
        <f t="shared" si="0"/>
        <v>2520</v>
      </c>
      <c r="J18" s="41">
        <v>21</v>
      </c>
      <c r="K18" s="42">
        <f t="shared" ref="K18" si="16">$D18*J18</f>
        <v>2520</v>
      </c>
      <c r="L18" s="41">
        <v>28.2</v>
      </c>
      <c r="M18" s="42">
        <f t="shared" ref="M18" si="17">$D18*L18</f>
        <v>3384</v>
      </c>
      <c r="N18" s="41">
        <v>11.5</v>
      </c>
      <c r="O18" s="42">
        <f t="shared" ref="O18" si="18">$D18*N18</f>
        <v>1380</v>
      </c>
      <c r="P18" s="41">
        <v>29.3</v>
      </c>
      <c r="Q18" s="42">
        <f t="shared" ref="Q18" si="19">$D18*P18</f>
        <v>3516</v>
      </c>
      <c r="R18" s="41">
        <v>0</v>
      </c>
      <c r="S18" s="42">
        <f t="shared" ref="S18" si="20">$D18*R18</f>
        <v>0</v>
      </c>
    </row>
    <row r="19" spans="1:19" x14ac:dyDescent="0.3">
      <c r="A19" s="23" t="s">
        <v>28</v>
      </c>
      <c r="B19" s="23" t="s">
        <v>220</v>
      </c>
      <c r="C19" s="23" t="s">
        <v>230</v>
      </c>
      <c r="D19" s="39">
        <v>1</v>
      </c>
      <c r="E19" s="40" t="s">
        <v>279</v>
      </c>
      <c r="F19" s="41">
        <v>22</v>
      </c>
      <c r="G19" s="68" t="s">
        <v>288</v>
      </c>
      <c r="H19" s="41">
        <v>24</v>
      </c>
      <c r="I19" s="68" t="s">
        <v>288</v>
      </c>
      <c r="J19" s="41">
        <v>20.5</v>
      </c>
      <c r="K19" s="68" t="s">
        <v>288</v>
      </c>
      <c r="L19" s="41">
        <v>14.5</v>
      </c>
      <c r="M19" s="68" t="s">
        <v>288</v>
      </c>
      <c r="N19" s="41">
        <v>18.5</v>
      </c>
      <c r="O19" s="68" t="s">
        <v>288</v>
      </c>
      <c r="P19" s="41">
        <v>25.5</v>
      </c>
      <c r="Q19" s="68" t="s">
        <v>288</v>
      </c>
      <c r="R19" s="41">
        <v>0</v>
      </c>
      <c r="S19" s="68" t="s">
        <v>288</v>
      </c>
    </row>
    <row r="20" spans="1:19" x14ac:dyDescent="0.3">
      <c r="A20" s="23" t="s">
        <v>29</v>
      </c>
      <c r="B20" s="23" t="s">
        <v>220</v>
      </c>
      <c r="C20" s="23" t="s">
        <v>231</v>
      </c>
      <c r="D20" s="39">
        <v>1</v>
      </c>
      <c r="E20" s="40" t="s">
        <v>279</v>
      </c>
      <c r="F20" s="41">
        <v>6</v>
      </c>
      <c r="G20" s="68" t="s">
        <v>288</v>
      </c>
      <c r="H20" s="41">
        <v>8.5</v>
      </c>
      <c r="I20" s="68" t="s">
        <v>288</v>
      </c>
      <c r="J20" s="41">
        <v>7</v>
      </c>
      <c r="K20" s="68" t="s">
        <v>288</v>
      </c>
      <c r="L20" s="41">
        <v>4</v>
      </c>
      <c r="M20" s="68" t="s">
        <v>288</v>
      </c>
      <c r="N20" s="41">
        <v>143</v>
      </c>
      <c r="O20" s="68" t="s">
        <v>288</v>
      </c>
      <c r="P20" s="41">
        <v>10.7</v>
      </c>
      <c r="Q20" s="68" t="s">
        <v>288</v>
      </c>
      <c r="R20" s="41">
        <v>0</v>
      </c>
      <c r="S20" s="68" t="s">
        <v>288</v>
      </c>
    </row>
    <row r="21" spans="1:19" x14ac:dyDescent="0.3">
      <c r="A21" s="23" t="s">
        <v>30</v>
      </c>
      <c r="B21" s="23" t="s">
        <v>220</v>
      </c>
      <c r="C21" s="23" t="s">
        <v>232</v>
      </c>
      <c r="D21" s="39">
        <v>1</v>
      </c>
      <c r="E21" s="40" t="s">
        <v>279</v>
      </c>
      <c r="F21" s="41">
        <v>15</v>
      </c>
      <c r="G21" s="68" t="s">
        <v>288</v>
      </c>
      <c r="H21" s="41">
        <v>7.5</v>
      </c>
      <c r="I21" s="68" t="s">
        <v>288</v>
      </c>
      <c r="J21" s="41">
        <v>7</v>
      </c>
      <c r="K21" s="68" t="s">
        <v>288</v>
      </c>
      <c r="L21" s="41">
        <v>4.25</v>
      </c>
      <c r="M21" s="68" t="s">
        <v>288</v>
      </c>
      <c r="N21" s="41">
        <v>27.2</v>
      </c>
      <c r="O21" s="68" t="s">
        <v>288</v>
      </c>
      <c r="P21" s="41">
        <v>62.1</v>
      </c>
      <c r="Q21" s="68" t="s">
        <v>288</v>
      </c>
      <c r="R21" s="41">
        <v>0</v>
      </c>
      <c r="S21" s="68" t="s">
        <v>288</v>
      </c>
    </row>
    <row r="22" spans="1:19" x14ac:dyDescent="0.3">
      <c r="A22" s="23" t="s">
        <v>31</v>
      </c>
      <c r="B22" s="23"/>
      <c r="C22" s="23" t="s">
        <v>233</v>
      </c>
      <c r="D22" s="39">
        <v>48</v>
      </c>
      <c r="E22" s="40" t="s">
        <v>281</v>
      </c>
      <c r="F22" s="41">
        <v>73</v>
      </c>
      <c r="G22" s="42">
        <f t="shared" si="0"/>
        <v>3504</v>
      </c>
      <c r="H22" s="41">
        <v>165</v>
      </c>
      <c r="I22" s="42">
        <f t="shared" si="0"/>
        <v>7920</v>
      </c>
      <c r="J22" s="41">
        <v>250</v>
      </c>
      <c r="K22" s="42">
        <f t="shared" ref="K22" si="21">$D22*J22</f>
        <v>12000</v>
      </c>
      <c r="L22" s="41">
        <v>272.10000000000002</v>
      </c>
      <c r="M22" s="42">
        <f t="shared" ref="M22" si="22">$D22*L22</f>
        <v>13060.800000000001</v>
      </c>
      <c r="N22" s="41">
        <v>420</v>
      </c>
      <c r="O22" s="42">
        <f t="shared" ref="O22" si="23">$D22*N22</f>
        <v>20160</v>
      </c>
      <c r="P22" s="41">
        <v>392.7</v>
      </c>
      <c r="Q22" s="42">
        <f t="shared" ref="Q22" si="24">$D22*P22</f>
        <v>18849.599999999999</v>
      </c>
      <c r="R22" s="41">
        <v>0</v>
      </c>
      <c r="S22" s="42">
        <f t="shared" ref="S22" si="25">$D22*R22</f>
        <v>0</v>
      </c>
    </row>
    <row r="23" spans="1:19" x14ac:dyDescent="0.3">
      <c r="A23" s="23" t="s">
        <v>32</v>
      </c>
      <c r="B23" s="23"/>
      <c r="C23" s="23" t="s">
        <v>234</v>
      </c>
      <c r="D23" s="39">
        <v>15</v>
      </c>
      <c r="E23" s="40" t="s">
        <v>281</v>
      </c>
      <c r="F23" s="41">
        <v>62</v>
      </c>
      <c r="G23" s="42">
        <f t="shared" si="0"/>
        <v>930</v>
      </c>
      <c r="H23" s="41">
        <v>82.5</v>
      </c>
      <c r="I23" s="42">
        <f t="shared" si="0"/>
        <v>1237.5</v>
      </c>
      <c r="J23" s="41">
        <v>71.5</v>
      </c>
      <c r="K23" s="42">
        <f t="shared" ref="K23" si="26">$D23*J23</f>
        <v>1072.5</v>
      </c>
      <c r="L23" s="41">
        <v>65</v>
      </c>
      <c r="M23" s="42">
        <f t="shared" ref="M23" si="27">$D23*L23</f>
        <v>975</v>
      </c>
      <c r="N23" s="41">
        <v>102</v>
      </c>
      <c r="O23" s="42">
        <f t="shared" ref="O23" si="28">$D23*N23</f>
        <v>1530</v>
      </c>
      <c r="P23" s="41">
        <v>79.8</v>
      </c>
      <c r="Q23" s="42">
        <f t="shared" ref="Q23" si="29">$D23*P23</f>
        <v>1197</v>
      </c>
      <c r="R23" s="41">
        <v>0</v>
      </c>
      <c r="S23" s="42">
        <f t="shared" ref="S23" si="30">$D23*R23</f>
        <v>0</v>
      </c>
    </row>
    <row r="24" spans="1:19" x14ac:dyDescent="0.3">
      <c r="A24" s="23" t="s">
        <v>33</v>
      </c>
      <c r="B24" s="23"/>
      <c r="C24" s="23" t="s">
        <v>235</v>
      </c>
      <c r="D24" s="39">
        <v>1</v>
      </c>
      <c r="E24" s="40" t="s">
        <v>281</v>
      </c>
      <c r="F24" s="41">
        <v>65</v>
      </c>
      <c r="G24" s="42">
        <f t="shared" si="0"/>
        <v>65</v>
      </c>
      <c r="H24" s="41">
        <v>82.5</v>
      </c>
      <c r="I24" s="42">
        <f t="shared" si="0"/>
        <v>82.5</v>
      </c>
      <c r="J24" s="41">
        <v>91.5</v>
      </c>
      <c r="K24" s="42">
        <f t="shared" ref="K24" si="31">$D24*J24</f>
        <v>91.5</v>
      </c>
      <c r="L24" s="41">
        <v>65</v>
      </c>
      <c r="M24" s="42">
        <f t="shared" ref="M24" si="32">$D24*L24</f>
        <v>65</v>
      </c>
      <c r="N24" s="41">
        <v>125</v>
      </c>
      <c r="O24" s="42">
        <f t="shared" ref="O24" si="33">$D24*N24</f>
        <v>125</v>
      </c>
      <c r="P24" s="41">
        <v>126.6</v>
      </c>
      <c r="Q24" s="42">
        <f t="shared" ref="Q24" si="34">$D24*P24</f>
        <v>126.6</v>
      </c>
      <c r="R24" s="41">
        <v>0</v>
      </c>
      <c r="S24" s="42">
        <f t="shared" ref="S24" si="35">$D24*R24</f>
        <v>0</v>
      </c>
    </row>
    <row r="25" spans="1:19" x14ac:dyDescent="0.3">
      <c r="A25" s="23" t="s">
        <v>34</v>
      </c>
      <c r="B25" s="23"/>
      <c r="C25" s="23" t="s">
        <v>236</v>
      </c>
      <c r="D25" s="39">
        <v>3</v>
      </c>
      <c r="E25" s="40" t="s">
        <v>281</v>
      </c>
      <c r="F25" s="41">
        <v>75</v>
      </c>
      <c r="G25" s="42">
        <f t="shared" si="0"/>
        <v>225</v>
      </c>
      <c r="H25" s="41">
        <v>87.5</v>
      </c>
      <c r="I25" s="42">
        <f t="shared" si="0"/>
        <v>262.5</v>
      </c>
      <c r="J25" s="41">
        <v>190</v>
      </c>
      <c r="K25" s="42">
        <f t="shared" ref="K25" si="36">$D25*J25</f>
        <v>570</v>
      </c>
      <c r="L25" s="41">
        <v>90</v>
      </c>
      <c r="M25" s="42">
        <f t="shared" ref="M25" si="37">$D25*L25</f>
        <v>270</v>
      </c>
      <c r="N25" s="41">
        <v>185</v>
      </c>
      <c r="O25" s="42">
        <f t="shared" ref="O25" si="38">$D25*N25</f>
        <v>555</v>
      </c>
      <c r="P25" s="41">
        <v>142.80000000000001</v>
      </c>
      <c r="Q25" s="42">
        <f t="shared" ref="Q25" si="39">$D25*P25</f>
        <v>428.40000000000003</v>
      </c>
      <c r="R25" s="41">
        <v>0</v>
      </c>
      <c r="S25" s="42">
        <f t="shared" ref="S25" si="40">$D25*R25</f>
        <v>0</v>
      </c>
    </row>
    <row r="26" spans="1:19" x14ac:dyDescent="0.3">
      <c r="A26" s="23" t="s">
        <v>35</v>
      </c>
      <c r="B26" s="23"/>
      <c r="C26" s="23" t="s">
        <v>237</v>
      </c>
      <c r="D26" s="39">
        <v>53</v>
      </c>
      <c r="E26" s="40" t="s">
        <v>281</v>
      </c>
      <c r="F26" s="41">
        <v>250</v>
      </c>
      <c r="G26" s="42">
        <f t="shared" si="0"/>
        <v>13250</v>
      </c>
      <c r="H26" s="41">
        <v>325</v>
      </c>
      <c r="I26" s="42">
        <f t="shared" si="0"/>
        <v>17225</v>
      </c>
      <c r="J26" s="41">
        <v>240</v>
      </c>
      <c r="K26" s="42">
        <f t="shared" ref="K26" si="41">$D26*J26</f>
        <v>12720</v>
      </c>
      <c r="L26" s="41">
        <v>295</v>
      </c>
      <c r="M26" s="42">
        <f t="shared" ref="M26" si="42">$D26*L26</f>
        <v>15635</v>
      </c>
      <c r="N26" s="41">
        <v>502</v>
      </c>
      <c r="O26" s="42">
        <f t="shared" ref="O26" si="43">$D26*N26</f>
        <v>26606</v>
      </c>
      <c r="P26" s="41">
        <v>230.3</v>
      </c>
      <c r="Q26" s="42">
        <f t="shared" ref="Q26" si="44">$D26*P26</f>
        <v>12205.900000000001</v>
      </c>
      <c r="R26" s="41">
        <v>0</v>
      </c>
      <c r="S26" s="42">
        <f t="shared" ref="S26" si="45">$D26*R26</f>
        <v>0</v>
      </c>
    </row>
    <row r="27" spans="1:19" x14ac:dyDescent="0.3">
      <c r="A27" s="23" t="s">
        <v>36</v>
      </c>
      <c r="B27" s="23"/>
      <c r="C27" s="23" t="s">
        <v>238</v>
      </c>
      <c r="D27" s="39">
        <v>16</v>
      </c>
      <c r="E27" s="40" t="s">
        <v>280</v>
      </c>
      <c r="F27" s="41">
        <v>20</v>
      </c>
      <c r="G27" s="42">
        <f t="shared" si="0"/>
        <v>320</v>
      </c>
      <c r="H27" s="41">
        <v>25.45</v>
      </c>
      <c r="I27" s="42">
        <f t="shared" si="0"/>
        <v>407.2</v>
      </c>
      <c r="J27" s="41">
        <v>25</v>
      </c>
      <c r="K27" s="42">
        <f t="shared" ref="K27" si="46">$D27*J27</f>
        <v>400</v>
      </c>
      <c r="L27" s="41">
        <v>28.9</v>
      </c>
      <c r="M27" s="42">
        <f t="shared" ref="M27" si="47">$D27*L27</f>
        <v>462.4</v>
      </c>
      <c r="N27" s="41">
        <v>38.5</v>
      </c>
      <c r="O27" s="42">
        <f t="shared" ref="O27" si="48">$D27*N27</f>
        <v>616</v>
      </c>
      <c r="P27" s="41">
        <v>31.9</v>
      </c>
      <c r="Q27" s="42">
        <f t="shared" ref="Q27" si="49">$D27*P27</f>
        <v>510.4</v>
      </c>
      <c r="R27" s="41">
        <v>0</v>
      </c>
      <c r="S27" s="42">
        <f t="shared" ref="S27" si="50">$D27*R27</f>
        <v>0</v>
      </c>
    </row>
    <row r="28" spans="1:19" x14ac:dyDescent="0.3">
      <c r="A28" s="23" t="s">
        <v>37</v>
      </c>
      <c r="B28" s="23" t="s">
        <v>220</v>
      </c>
      <c r="C28" s="23" t="s">
        <v>239</v>
      </c>
      <c r="D28" s="39">
        <v>1</v>
      </c>
      <c r="E28" s="40" t="s">
        <v>281</v>
      </c>
      <c r="F28" s="41">
        <v>10</v>
      </c>
      <c r="G28" s="68" t="s">
        <v>288</v>
      </c>
      <c r="H28" s="41">
        <v>18</v>
      </c>
      <c r="I28" s="68" t="s">
        <v>288</v>
      </c>
      <c r="J28" s="41">
        <v>12</v>
      </c>
      <c r="K28" s="68" t="s">
        <v>288</v>
      </c>
      <c r="L28" s="41">
        <v>10</v>
      </c>
      <c r="M28" s="68" t="s">
        <v>288</v>
      </c>
      <c r="N28" s="41">
        <v>12</v>
      </c>
      <c r="O28" s="68" t="s">
        <v>288</v>
      </c>
      <c r="P28" s="41">
        <v>7.8</v>
      </c>
      <c r="Q28" s="68" t="s">
        <v>288</v>
      </c>
      <c r="R28" s="41">
        <v>0</v>
      </c>
      <c r="S28" s="68" t="s">
        <v>288</v>
      </c>
    </row>
    <row r="29" spans="1:19" x14ac:dyDescent="0.3">
      <c r="A29" s="23" t="s">
        <v>38</v>
      </c>
      <c r="B29" s="23" t="s">
        <v>220</v>
      </c>
      <c r="C29" s="23" t="s">
        <v>240</v>
      </c>
      <c r="D29" s="39">
        <v>1</v>
      </c>
      <c r="E29" s="40" t="s">
        <v>281</v>
      </c>
      <c r="F29" s="41">
        <v>15</v>
      </c>
      <c r="G29" s="68" t="s">
        <v>288</v>
      </c>
      <c r="H29" s="41">
        <v>22</v>
      </c>
      <c r="I29" s="68" t="s">
        <v>288</v>
      </c>
      <c r="J29" s="41">
        <v>16</v>
      </c>
      <c r="K29" s="68" t="s">
        <v>288</v>
      </c>
      <c r="L29" s="41">
        <v>25</v>
      </c>
      <c r="M29" s="68" t="s">
        <v>288</v>
      </c>
      <c r="N29" s="41">
        <v>20</v>
      </c>
      <c r="O29" s="68" t="s">
        <v>288</v>
      </c>
      <c r="P29" s="41">
        <v>9</v>
      </c>
      <c r="Q29" s="68" t="s">
        <v>288</v>
      </c>
      <c r="R29" s="41">
        <v>0</v>
      </c>
      <c r="S29" s="68" t="s">
        <v>288</v>
      </c>
    </row>
    <row r="30" spans="1:19" x14ac:dyDescent="0.3">
      <c r="A30" s="23" t="s">
        <v>39</v>
      </c>
      <c r="B30" s="23" t="s">
        <v>220</v>
      </c>
      <c r="C30" s="23" t="s">
        <v>241</v>
      </c>
      <c r="D30" s="39">
        <v>1</v>
      </c>
      <c r="E30" s="40" t="s">
        <v>281</v>
      </c>
      <c r="F30" s="41">
        <v>10</v>
      </c>
      <c r="G30" s="68" t="s">
        <v>288</v>
      </c>
      <c r="H30" s="41">
        <v>25</v>
      </c>
      <c r="I30" s="68" t="s">
        <v>288</v>
      </c>
      <c r="J30" s="41">
        <v>18</v>
      </c>
      <c r="K30" s="68" t="s">
        <v>288</v>
      </c>
      <c r="L30" s="41">
        <v>10</v>
      </c>
      <c r="M30" s="68" t="s">
        <v>288</v>
      </c>
      <c r="N30" s="41">
        <v>25</v>
      </c>
      <c r="O30" s="68" t="s">
        <v>288</v>
      </c>
      <c r="P30" s="41">
        <v>4.5999999999999996</v>
      </c>
      <c r="Q30" s="68" t="s">
        <v>288</v>
      </c>
      <c r="R30" s="41">
        <v>0</v>
      </c>
      <c r="S30" s="68" t="s">
        <v>288</v>
      </c>
    </row>
    <row r="31" spans="1:19" x14ac:dyDescent="0.3">
      <c r="A31" s="23" t="s">
        <v>40</v>
      </c>
      <c r="B31" s="23" t="s">
        <v>220</v>
      </c>
      <c r="C31" s="23" t="s">
        <v>242</v>
      </c>
      <c r="D31" s="39">
        <v>1</v>
      </c>
      <c r="E31" s="40" t="s">
        <v>281</v>
      </c>
      <c r="F31" s="41">
        <v>15</v>
      </c>
      <c r="G31" s="68" t="s">
        <v>288</v>
      </c>
      <c r="H31" s="41">
        <v>30</v>
      </c>
      <c r="I31" s="68" t="s">
        <v>288</v>
      </c>
      <c r="J31" s="41">
        <v>24</v>
      </c>
      <c r="K31" s="68" t="s">
        <v>288</v>
      </c>
      <c r="L31" s="41">
        <v>25</v>
      </c>
      <c r="M31" s="68" t="s">
        <v>288</v>
      </c>
      <c r="N31" s="41">
        <v>35</v>
      </c>
      <c r="O31" s="68" t="s">
        <v>288</v>
      </c>
      <c r="P31" s="41">
        <v>6.8</v>
      </c>
      <c r="Q31" s="68" t="s">
        <v>288</v>
      </c>
      <c r="R31" s="41">
        <v>0</v>
      </c>
      <c r="S31" s="68" t="s">
        <v>288</v>
      </c>
    </row>
    <row r="32" spans="1:19" x14ac:dyDescent="0.3">
      <c r="A32" s="23" t="s">
        <v>41</v>
      </c>
      <c r="B32" s="23" t="s">
        <v>220</v>
      </c>
      <c r="C32" s="23" t="s">
        <v>243</v>
      </c>
      <c r="D32" s="39">
        <v>1</v>
      </c>
      <c r="E32" s="40" t="s">
        <v>281</v>
      </c>
      <c r="F32" s="41">
        <v>20</v>
      </c>
      <c r="G32" s="68" t="s">
        <v>288</v>
      </c>
      <c r="H32" s="41">
        <v>10</v>
      </c>
      <c r="I32" s="68" t="s">
        <v>288</v>
      </c>
      <c r="J32" s="41">
        <v>7</v>
      </c>
      <c r="K32" s="68" t="s">
        <v>288</v>
      </c>
      <c r="L32" s="41">
        <v>3.5</v>
      </c>
      <c r="M32" s="68" t="s">
        <v>288</v>
      </c>
      <c r="N32" s="41">
        <v>8</v>
      </c>
      <c r="O32" s="68" t="s">
        <v>288</v>
      </c>
      <c r="P32" s="41">
        <v>3.7</v>
      </c>
      <c r="Q32" s="68" t="s">
        <v>288</v>
      </c>
      <c r="R32" s="41">
        <v>0</v>
      </c>
      <c r="S32" s="68" t="s">
        <v>288</v>
      </c>
    </row>
    <row r="33" spans="1:19" x14ac:dyDescent="0.3">
      <c r="A33" s="23" t="s">
        <v>42</v>
      </c>
      <c r="B33" s="23" t="s">
        <v>220</v>
      </c>
      <c r="C33" s="23" t="s">
        <v>244</v>
      </c>
      <c r="D33" s="39">
        <v>1</v>
      </c>
      <c r="E33" s="40" t="s">
        <v>281</v>
      </c>
      <c r="F33" s="41">
        <v>30</v>
      </c>
      <c r="G33" s="68" t="s">
        <v>288</v>
      </c>
      <c r="H33" s="41">
        <v>18</v>
      </c>
      <c r="I33" s="68" t="s">
        <v>288</v>
      </c>
      <c r="J33" s="41">
        <v>9</v>
      </c>
      <c r="K33" s="68" t="s">
        <v>288</v>
      </c>
      <c r="L33" s="41">
        <v>10</v>
      </c>
      <c r="M33" s="68" t="s">
        <v>288</v>
      </c>
      <c r="N33" s="41">
        <v>18</v>
      </c>
      <c r="O33" s="68" t="s">
        <v>288</v>
      </c>
      <c r="P33" s="41">
        <v>5.2</v>
      </c>
      <c r="Q33" s="68" t="s">
        <v>288</v>
      </c>
      <c r="R33" s="41">
        <v>0</v>
      </c>
      <c r="S33" s="68" t="s">
        <v>288</v>
      </c>
    </row>
    <row r="34" spans="1:19" x14ac:dyDescent="0.3">
      <c r="A34" s="23" t="s">
        <v>43</v>
      </c>
      <c r="B34" s="23" t="s">
        <v>220</v>
      </c>
      <c r="C34" s="23" t="s">
        <v>245</v>
      </c>
      <c r="D34" s="39">
        <v>1</v>
      </c>
      <c r="E34" s="40" t="s">
        <v>281</v>
      </c>
      <c r="F34" s="41">
        <v>20</v>
      </c>
      <c r="G34" s="68" t="s">
        <v>288</v>
      </c>
      <c r="H34" s="41">
        <v>12</v>
      </c>
      <c r="I34" s="68" t="s">
        <v>288</v>
      </c>
      <c r="J34" s="41">
        <v>9</v>
      </c>
      <c r="K34" s="68" t="s">
        <v>288</v>
      </c>
      <c r="L34" s="41">
        <v>3.5</v>
      </c>
      <c r="M34" s="68" t="s">
        <v>288</v>
      </c>
      <c r="N34" s="41">
        <v>15</v>
      </c>
      <c r="O34" s="68" t="s">
        <v>288</v>
      </c>
      <c r="P34" s="41">
        <v>3.7</v>
      </c>
      <c r="Q34" s="68" t="s">
        <v>288</v>
      </c>
      <c r="R34" s="41">
        <v>0</v>
      </c>
      <c r="S34" s="68" t="s">
        <v>288</v>
      </c>
    </row>
    <row r="35" spans="1:19" x14ac:dyDescent="0.3">
      <c r="A35" s="23" t="s">
        <v>44</v>
      </c>
      <c r="B35" s="23" t="s">
        <v>220</v>
      </c>
      <c r="C35" s="23" t="s">
        <v>246</v>
      </c>
      <c r="D35" s="39">
        <v>1</v>
      </c>
      <c r="E35" s="40" t="s">
        <v>281</v>
      </c>
      <c r="F35" s="41">
        <v>30</v>
      </c>
      <c r="G35" s="68" t="s">
        <v>288</v>
      </c>
      <c r="H35" s="41">
        <v>25</v>
      </c>
      <c r="I35" s="68" t="s">
        <v>288</v>
      </c>
      <c r="J35" s="41">
        <v>12</v>
      </c>
      <c r="K35" s="68" t="s">
        <v>288</v>
      </c>
      <c r="L35" s="41">
        <v>10</v>
      </c>
      <c r="M35" s="68" t="s">
        <v>288</v>
      </c>
      <c r="N35" s="41">
        <v>18</v>
      </c>
      <c r="O35" s="68" t="s">
        <v>288</v>
      </c>
      <c r="P35" s="41">
        <v>5.2</v>
      </c>
      <c r="Q35" s="68" t="s">
        <v>288</v>
      </c>
      <c r="R35" s="41">
        <v>0</v>
      </c>
      <c r="S35" s="68" t="s">
        <v>288</v>
      </c>
    </row>
    <row r="36" spans="1:19" x14ac:dyDescent="0.3">
      <c r="A36" s="23" t="s">
        <v>45</v>
      </c>
      <c r="B36" s="23" t="s">
        <v>220</v>
      </c>
      <c r="C36" s="23" t="s">
        <v>247</v>
      </c>
      <c r="D36" s="39">
        <v>10</v>
      </c>
      <c r="E36" s="40" t="s">
        <v>281</v>
      </c>
      <c r="F36" s="41">
        <v>65</v>
      </c>
      <c r="G36" s="68" t="s">
        <v>288</v>
      </c>
      <c r="H36" s="41">
        <v>75</v>
      </c>
      <c r="I36" s="68" t="s">
        <v>288</v>
      </c>
      <c r="J36" s="41">
        <v>60</v>
      </c>
      <c r="K36" s="68" t="s">
        <v>288</v>
      </c>
      <c r="L36" s="41">
        <v>20</v>
      </c>
      <c r="M36" s="68" t="s">
        <v>288</v>
      </c>
      <c r="N36" s="41">
        <v>90</v>
      </c>
      <c r="O36" s="68" t="s">
        <v>288</v>
      </c>
      <c r="P36" s="41">
        <v>68.5</v>
      </c>
      <c r="Q36" s="68" t="s">
        <v>288</v>
      </c>
      <c r="R36" s="41">
        <v>0</v>
      </c>
      <c r="S36" s="68" t="s">
        <v>288</v>
      </c>
    </row>
    <row r="37" spans="1:19" x14ac:dyDescent="0.3">
      <c r="A37" s="57" t="s">
        <v>20</v>
      </c>
      <c r="B37" s="57"/>
      <c r="C37" s="57" t="s">
        <v>222</v>
      </c>
      <c r="D37" s="58"/>
      <c r="E37" s="59"/>
      <c r="F37" s="60"/>
      <c r="G37" s="61">
        <f>SUM(G12:G36)</f>
        <v>88750</v>
      </c>
      <c r="H37" s="60"/>
      <c r="I37" s="61">
        <f>SUM(I12:I36)</f>
        <v>109240.2</v>
      </c>
      <c r="J37" s="60"/>
      <c r="K37" s="61">
        <f>SUM(K12:K36)</f>
        <v>107820</v>
      </c>
      <c r="L37" s="60"/>
      <c r="M37" s="61">
        <f>SUM(M12:M36)</f>
        <v>111418.5</v>
      </c>
      <c r="N37" s="60"/>
      <c r="O37" s="61">
        <f>SUM(O12:O36)</f>
        <v>120963.95</v>
      </c>
      <c r="P37" s="60"/>
      <c r="Q37" s="61">
        <f>SUM(Q12:Q36)</f>
        <v>114547.19999999998</v>
      </c>
      <c r="R37" s="60"/>
      <c r="S37" s="61">
        <f>SUM(S12:S36)</f>
        <v>0</v>
      </c>
    </row>
    <row r="38" spans="1:19" x14ac:dyDescent="0.3">
      <c r="A38" s="23"/>
      <c r="B38" s="23"/>
      <c r="C38" s="23"/>
      <c r="D38" s="39"/>
      <c r="E38" s="40"/>
      <c r="F38" s="41"/>
      <c r="G38" s="42"/>
      <c r="H38" s="41"/>
      <c r="I38" s="42"/>
      <c r="J38" s="41"/>
      <c r="K38" s="42"/>
      <c r="L38" s="41"/>
      <c r="M38" s="42"/>
      <c r="N38" s="41"/>
      <c r="O38" s="42"/>
      <c r="P38" s="41"/>
      <c r="Q38" s="42"/>
      <c r="R38" s="41"/>
      <c r="S38" s="42"/>
    </row>
    <row r="39" spans="1:19" x14ac:dyDescent="0.3">
      <c r="A39" s="23" t="s">
        <v>47</v>
      </c>
      <c r="B39" s="23"/>
      <c r="C39" s="23" t="s">
        <v>249</v>
      </c>
      <c r="D39" s="39">
        <v>6</v>
      </c>
      <c r="E39" s="40" t="s">
        <v>279</v>
      </c>
      <c r="F39" s="41">
        <v>62</v>
      </c>
      <c r="G39" s="42">
        <f t="shared" ref="G39:I97" si="51">$D39*F39</f>
        <v>372</v>
      </c>
      <c r="H39" s="41">
        <v>65</v>
      </c>
      <c r="I39" s="42">
        <f t="shared" si="51"/>
        <v>390</v>
      </c>
      <c r="J39" s="41">
        <v>75</v>
      </c>
      <c r="K39" s="42">
        <f t="shared" ref="K39" si="52">$D39*J39</f>
        <v>450</v>
      </c>
      <c r="L39" s="41">
        <v>49.9</v>
      </c>
      <c r="M39" s="42">
        <f t="shared" ref="M39" si="53">$D39*L39</f>
        <v>299.39999999999998</v>
      </c>
      <c r="N39" s="41">
        <v>48</v>
      </c>
      <c r="O39" s="42">
        <f t="shared" ref="O39" si="54">$D39*N39</f>
        <v>288</v>
      </c>
      <c r="P39" s="41">
        <v>40.4</v>
      </c>
      <c r="Q39" s="42">
        <f t="shared" ref="Q39" si="55">$D39*P39</f>
        <v>242.39999999999998</v>
      </c>
      <c r="R39" s="41">
        <v>0</v>
      </c>
      <c r="S39" s="42">
        <f t="shared" ref="S39" si="56">$D39*R39</f>
        <v>0</v>
      </c>
    </row>
    <row r="40" spans="1:19" x14ac:dyDescent="0.3">
      <c r="A40" s="23" t="s">
        <v>48</v>
      </c>
      <c r="B40" s="23" t="s">
        <v>220</v>
      </c>
      <c r="C40" s="23" t="s">
        <v>250</v>
      </c>
      <c r="D40" s="39">
        <v>1</v>
      </c>
      <c r="E40" s="40" t="s">
        <v>279</v>
      </c>
      <c r="F40" s="41">
        <v>12</v>
      </c>
      <c r="G40" s="68" t="s">
        <v>288</v>
      </c>
      <c r="H40" s="41">
        <v>7.5</v>
      </c>
      <c r="I40" s="68" t="s">
        <v>288</v>
      </c>
      <c r="J40" s="41">
        <v>16</v>
      </c>
      <c r="K40" s="68" t="s">
        <v>288</v>
      </c>
      <c r="L40" s="41">
        <v>9</v>
      </c>
      <c r="M40" s="68" t="s">
        <v>288</v>
      </c>
      <c r="N40" s="41">
        <v>16</v>
      </c>
      <c r="O40" s="68" t="s">
        <v>288</v>
      </c>
      <c r="P40" s="41">
        <v>15.7</v>
      </c>
      <c r="Q40" s="68" t="s">
        <v>288</v>
      </c>
      <c r="R40" s="41">
        <v>0</v>
      </c>
      <c r="S40" s="68" t="s">
        <v>288</v>
      </c>
    </row>
    <row r="41" spans="1:19" x14ac:dyDescent="0.3">
      <c r="A41" s="23" t="s">
        <v>49</v>
      </c>
      <c r="B41" s="23" t="s">
        <v>220</v>
      </c>
      <c r="C41" s="23" t="s">
        <v>251</v>
      </c>
      <c r="D41" s="39">
        <v>1</v>
      </c>
      <c r="E41" s="40" t="s">
        <v>279</v>
      </c>
      <c r="F41" s="41">
        <v>4</v>
      </c>
      <c r="G41" s="68" t="s">
        <v>288</v>
      </c>
      <c r="H41" s="41">
        <v>2</v>
      </c>
      <c r="I41" s="68" t="s">
        <v>288</v>
      </c>
      <c r="J41" s="41">
        <v>2.5</v>
      </c>
      <c r="K41" s="68" t="s">
        <v>288</v>
      </c>
      <c r="L41" s="41">
        <v>2.2999999999999998</v>
      </c>
      <c r="M41" s="68" t="s">
        <v>288</v>
      </c>
      <c r="N41" s="41">
        <v>4.2</v>
      </c>
      <c r="O41" s="68" t="s">
        <v>288</v>
      </c>
      <c r="P41" s="41">
        <v>3.1</v>
      </c>
      <c r="Q41" s="68" t="s">
        <v>288</v>
      </c>
      <c r="R41" s="41">
        <v>0</v>
      </c>
      <c r="S41" s="68" t="s">
        <v>288</v>
      </c>
    </row>
    <row r="42" spans="1:19" x14ac:dyDescent="0.3">
      <c r="A42" s="23" t="s">
        <v>50</v>
      </c>
      <c r="B42" s="23" t="s">
        <v>220</v>
      </c>
      <c r="C42" s="23" t="s">
        <v>252</v>
      </c>
      <c r="D42" s="39">
        <v>1</v>
      </c>
      <c r="E42" s="40" t="s">
        <v>279</v>
      </c>
      <c r="F42" s="41">
        <v>8</v>
      </c>
      <c r="G42" s="68" t="s">
        <v>288</v>
      </c>
      <c r="H42" s="41">
        <v>4</v>
      </c>
      <c r="I42" s="68" t="s">
        <v>288</v>
      </c>
      <c r="J42" s="41">
        <v>5</v>
      </c>
      <c r="K42" s="68" t="s">
        <v>288</v>
      </c>
      <c r="L42" s="41">
        <v>4.5999999999999996</v>
      </c>
      <c r="M42" s="68" t="s">
        <v>288</v>
      </c>
      <c r="N42" s="41">
        <v>8.4</v>
      </c>
      <c r="O42" s="68" t="s">
        <v>288</v>
      </c>
      <c r="P42" s="41">
        <v>6.2</v>
      </c>
      <c r="Q42" s="68" t="s">
        <v>288</v>
      </c>
      <c r="R42" s="41">
        <v>0</v>
      </c>
      <c r="S42" s="68" t="s">
        <v>288</v>
      </c>
    </row>
    <row r="43" spans="1:19" x14ac:dyDescent="0.3">
      <c r="A43" s="23" t="s">
        <v>51</v>
      </c>
      <c r="B43" s="23" t="s">
        <v>220</v>
      </c>
      <c r="C43" s="23" t="s">
        <v>253</v>
      </c>
      <c r="D43" s="39">
        <v>1</v>
      </c>
      <c r="E43" s="40" t="s">
        <v>279</v>
      </c>
      <c r="F43" s="41">
        <v>6.95</v>
      </c>
      <c r="G43" s="68" t="s">
        <v>288</v>
      </c>
      <c r="H43" s="41">
        <v>5</v>
      </c>
      <c r="I43" s="68" t="s">
        <v>288</v>
      </c>
      <c r="J43" s="41">
        <v>4</v>
      </c>
      <c r="K43" s="68" t="s">
        <v>288</v>
      </c>
      <c r="L43" s="41">
        <v>5</v>
      </c>
      <c r="M43" s="68" t="s">
        <v>288</v>
      </c>
      <c r="N43" s="41">
        <v>8.8000000000000007</v>
      </c>
      <c r="O43" s="68" t="s">
        <v>288</v>
      </c>
      <c r="P43" s="41">
        <v>7.4</v>
      </c>
      <c r="Q43" s="68" t="s">
        <v>288</v>
      </c>
      <c r="R43" s="41">
        <v>0</v>
      </c>
      <c r="S43" s="68" t="s">
        <v>288</v>
      </c>
    </row>
    <row r="44" spans="1:19" x14ac:dyDescent="0.3">
      <c r="A44" s="23" t="s">
        <v>52</v>
      </c>
      <c r="B44" s="23"/>
      <c r="C44" s="23" t="s">
        <v>254</v>
      </c>
      <c r="D44" s="39">
        <v>20</v>
      </c>
      <c r="E44" s="40" t="s">
        <v>280</v>
      </c>
      <c r="F44" s="41">
        <v>15</v>
      </c>
      <c r="G44" s="42">
        <f t="shared" si="51"/>
        <v>300</v>
      </c>
      <c r="H44" s="41">
        <v>18</v>
      </c>
      <c r="I44" s="42">
        <f t="shared" si="51"/>
        <v>360</v>
      </c>
      <c r="J44" s="41">
        <v>6</v>
      </c>
      <c r="K44" s="42">
        <f t="shared" ref="K44" si="57">$D44*J44</f>
        <v>120</v>
      </c>
      <c r="L44" s="41">
        <v>10.5</v>
      </c>
      <c r="M44" s="42">
        <f t="shared" ref="M44" si="58">$D44*L44</f>
        <v>210</v>
      </c>
      <c r="N44" s="41">
        <v>6.9</v>
      </c>
      <c r="O44" s="42">
        <f t="shared" ref="O44" si="59">$D44*N44</f>
        <v>138</v>
      </c>
      <c r="P44" s="41">
        <v>11.8</v>
      </c>
      <c r="Q44" s="42">
        <f t="shared" ref="Q44" si="60">$D44*P44</f>
        <v>236</v>
      </c>
      <c r="R44" s="41">
        <v>0</v>
      </c>
      <c r="S44" s="42">
        <f t="shared" ref="S44" si="61">$D44*R44</f>
        <v>0</v>
      </c>
    </row>
    <row r="45" spans="1:19" x14ac:dyDescent="0.3">
      <c r="A45" s="23" t="s">
        <v>53</v>
      </c>
      <c r="B45" s="23"/>
      <c r="C45" s="23" t="s">
        <v>255</v>
      </c>
      <c r="D45" s="39">
        <v>20</v>
      </c>
      <c r="E45" s="40" t="s">
        <v>280</v>
      </c>
      <c r="F45" s="41">
        <v>6.5</v>
      </c>
      <c r="G45" s="42">
        <f t="shared" si="51"/>
        <v>130</v>
      </c>
      <c r="H45" s="41">
        <v>7.5</v>
      </c>
      <c r="I45" s="42">
        <f t="shared" si="51"/>
        <v>150</v>
      </c>
      <c r="J45" s="41">
        <v>7</v>
      </c>
      <c r="K45" s="42">
        <f t="shared" ref="K45" si="62">$D45*J45</f>
        <v>140</v>
      </c>
      <c r="L45" s="41">
        <v>4</v>
      </c>
      <c r="M45" s="42">
        <f t="shared" ref="M45" si="63">$D45*L45</f>
        <v>80</v>
      </c>
      <c r="N45" s="41">
        <v>6.5</v>
      </c>
      <c r="O45" s="42">
        <f t="shared" ref="O45" si="64">$D45*N45</f>
        <v>130</v>
      </c>
      <c r="P45" s="41">
        <v>8.1</v>
      </c>
      <c r="Q45" s="42">
        <f t="shared" ref="Q45" si="65">$D45*P45</f>
        <v>162</v>
      </c>
      <c r="R45" s="41">
        <v>0</v>
      </c>
      <c r="S45" s="42">
        <f t="shared" ref="S45" si="66">$D45*R45</f>
        <v>0</v>
      </c>
    </row>
    <row r="46" spans="1:19" x14ac:dyDescent="0.3">
      <c r="A46" s="23" t="s">
        <v>54</v>
      </c>
      <c r="B46" s="23"/>
      <c r="C46" s="23" t="s">
        <v>256</v>
      </c>
      <c r="D46" s="39">
        <v>10</v>
      </c>
      <c r="E46" s="40" t="s">
        <v>281</v>
      </c>
      <c r="F46" s="41">
        <v>10</v>
      </c>
      <c r="G46" s="42">
        <f t="shared" si="51"/>
        <v>100</v>
      </c>
      <c r="H46" s="41">
        <v>19</v>
      </c>
      <c r="I46" s="42">
        <f t="shared" si="51"/>
        <v>190</v>
      </c>
      <c r="J46" s="41">
        <v>16</v>
      </c>
      <c r="K46" s="42">
        <f t="shared" ref="K46" si="67">$D46*J46</f>
        <v>160</v>
      </c>
      <c r="L46" s="41">
        <v>25</v>
      </c>
      <c r="M46" s="42">
        <f t="shared" ref="M46" si="68">$D46*L46</f>
        <v>250</v>
      </c>
      <c r="N46" s="41">
        <v>25</v>
      </c>
      <c r="O46" s="42">
        <f t="shared" ref="O46" si="69">$D46*N46</f>
        <v>250</v>
      </c>
      <c r="P46" s="41">
        <v>13.7</v>
      </c>
      <c r="Q46" s="42">
        <f t="shared" ref="Q46" si="70">$D46*P46</f>
        <v>137</v>
      </c>
      <c r="R46" s="41">
        <v>0</v>
      </c>
      <c r="S46" s="42">
        <f t="shared" ref="S46" si="71">$D46*R46</f>
        <v>0</v>
      </c>
    </row>
    <row r="47" spans="1:19" x14ac:dyDescent="0.3">
      <c r="A47" s="23" t="s">
        <v>55</v>
      </c>
      <c r="B47" s="23"/>
      <c r="C47" s="23" t="s">
        <v>257</v>
      </c>
      <c r="D47" s="39">
        <v>10</v>
      </c>
      <c r="E47" s="40" t="s">
        <v>281</v>
      </c>
      <c r="F47" s="41">
        <v>20</v>
      </c>
      <c r="G47" s="42">
        <f t="shared" si="51"/>
        <v>200</v>
      </c>
      <c r="H47" s="41">
        <v>19</v>
      </c>
      <c r="I47" s="42">
        <f t="shared" si="51"/>
        <v>190</v>
      </c>
      <c r="J47" s="41">
        <v>16</v>
      </c>
      <c r="K47" s="42">
        <f t="shared" ref="K47" si="72">$D47*J47</f>
        <v>160</v>
      </c>
      <c r="L47" s="41">
        <v>25</v>
      </c>
      <c r="M47" s="42">
        <f t="shared" ref="M47" si="73">$D47*L47</f>
        <v>250</v>
      </c>
      <c r="N47" s="41">
        <v>15</v>
      </c>
      <c r="O47" s="42">
        <f t="shared" ref="O47" si="74">$D47*N47</f>
        <v>150</v>
      </c>
      <c r="P47" s="41">
        <v>13.7</v>
      </c>
      <c r="Q47" s="42">
        <f t="shared" ref="Q47" si="75">$D47*P47</f>
        <v>137</v>
      </c>
      <c r="R47" s="41">
        <v>0</v>
      </c>
      <c r="S47" s="42">
        <f t="shared" ref="S47" si="76">$D47*R47</f>
        <v>0</v>
      </c>
    </row>
    <row r="48" spans="1:19" x14ac:dyDescent="0.3">
      <c r="A48" s="23" t="s">
        <v>56</v>
      </c>
      <c r="B48" s="23"/>
      <c r="C48" s="23" t="s">
        <v>258</v>
      </c>
      <c r="D48" s="39">
        <v>5</v>
      </c>
      <c r="E48" s="40" t="s">
        <v>281</v>
      </c>
      <c r="F48" s="41">
        <v>65</v>
      </c>
      <c r="G48" s="42">
        <f t="shared" si="51"/>
        <v>325</v>
      </c>
      <c r="H48" s="41">
        <v>82.75</v>
      </c>
      <c r="I48" s="42">
        <f t="shared" si="51"/>
        <v>413.75</v>
      </c>
      <c r="J48" s="41">
        <v>51</v>
      </c>
      <c r="K48" s="42">
        <f t="shared" ref="K48" si="77">$D48*J48</f>
        <v>255</v>
      </c>
      <c r="L48" s="41">
        <v>88</v>
      </c>
      <c r="M48" s="42">
        <f t="shared" ref="M48" si="78">$D48*L48</f>
        <v>440</v>
      </c>
      <c r="N48" s="41">
        <v>55</v>
      </c>
      <c r="O48" s="42">
        <f t="shared" ref="O48" si="79">$D48*N48</f>
        <v>275</v>
      </c>
      <c r="P48" s="41">
        <v>69.099999999999994</v>
      </c>
      <c r="Q48" s="42">
        <f t="shared" ref="Q48" si="80">$D48*P48</f>
        <v>345.5</v>
      </c>
      <c r="R48" s="41">
        <v>0</v>
      </c>
      <c r="S48" s="42">
        <f t="shared" ref="S48" si="81">$D48*R48</f>
        <v>0</v>
      </c>
    </row>
    <row r="49" spans="1:19" x14ac:dyDescent="0.3">
      <c r="A49" s="23" t="s">
        <v>57</v>
      </c>
      <c r="B49" s="23"/>
      <c r="C49" s="23" t="s">
        <v>259</v>
      </c>
      <c r="D49" s="39">
        <v>5</v>
      </c>
      <c r="E49" s="40" t="s">
        <v>281</v>
      </c>
      <c r="F49" s="41">
        <v>80</v>
      </c>
      <c r="G49" s="42">
        <f t="shared" si="51"/>
        <v>400</v>
      </c>
      <c r="H49" s="41">
        <v>97.5</v>
      </c>
      <c r="I49" s="42">
        <f t="shared" si="51"/>
        <v>487.5</v>
      </c>
      <c r="J49" s="41">
        <v>62</v>
      </c>
      <c r="K49" s="42">
        <f t="shared" ref="K49" si="82">$D49*J49</f>
        <v>310</v>
      </c>
      <c r="L49" s="41">
        <v>125</v>
      </c>
      <c r="M49" s="42">
        <f t="shared" ref="M49" si="83">$D49*L49</f>
        <v>625</v>
      </c>
      <c r="N49" s="41">
        <v>65</v>
      </c>
      <c r="O49" s="42">
        <f t="shared" ref="O49" si="84">$D49*N49</f>
        <v>325</v>
      </c>
      <c r="P49" s="41">
        <v>91.9</v>
      </c>
      <c r="Q49" s="42">
        <f t="shared" ref="Q49" si="85">$D49*P49</f>
        <v>459.5</v>
      </c>
      <c r="R49" s="41">
        <v>0</v>
      </c>
      <c r="S49" s="42">
        <f t="shared" ref="S49" si="86">$D49*R49</f>
        <v>0</v>
      </c>
    </row>
    <row r="50" spans="1:19" x14ac:dyDescent="0.3">
      <c r="A50" s="23" t="s">
        <v>58</v>
      </c>
      <c r="B50" s="23" t="s">
        <v>220</v>
      </c>
      <c r="C50" s="23" t="s">
        <v>260</v>
      </c>
      <c r="D50" s="39">
        <v>1</v>
      </c>
      <c r="E50" s="40" t="s">
        <v>281</v>
      </c>
      <c r="F50" s="41">
        <v>170</v>
      </c>
      <c r="G50" s="68" t="s">
        <v>288</v>
      </c>
      <c r="H50" s="41">
        <v>290</v>
      </c>
      <c r="I50" s="68" t="s">
        <v>288</v>
      </c>
      <c r="J50" s="41">
        <v>215</v>
      </c>
      <c r="K50" s="68" t="s">
        <v>288</v>
      </c>
      <c r="L50" s="41">
        <v>239.95</v>
      </c>
      <c r="M50" s="68" t="s">
        <v>288</v>
      </c>
      <c r="N50" s="41">
        <v>280</v>
      </c>
      <c r="O50" s="68" t="s">
        <v>288</v>
      </c>
      <c r="P50" s="41">
        <v>346.9</v>
      </c>
      <c r="Q50" s="68" t="s">
        <v>288</v>
      </c>
      <c r="R50" s="41">
        <v>0</v>
      </c>
      <c r="S50" s="68" t="s">
        <v>288</v>
      </c>
    </row>
    <row r="51" spans="1:19" x14ac:dyDescent="0.3">
      <c r="A51" s="23" t="s">
        <v>59</v>
      </c>
      <c r="B51" s="23" t="s">
        <v>220</v>
      </c>
      <c r="C51" s="23" t="s">
        <v>261</v>
      </c>
      <c r="D51" s="39">
        <v>1</v>
      </c>
      <c r="E51" s="40" t="s">
        <v>281</v>
      </c>
      <c r="F51" s="41">
        <v>200</v>
      </c>
      <c r="G51" s="68" t="s">
        <v>288</v>
      </c>
      <c r="H51" s="41">
        <v>348</v>
      </c>
      <c r="I51" s="68" t="s">
        <v>288</v>
      </c>
      <c r="J51" s="41">
        <v>265</v>
      </c>
      <c r="K51" s="68" t="s">
        <v>288</v>
      </c>
      <c r="L51" s="41">
        <v>281.95</v>
      </c>
      <c r="M51" s="68" t="s">
        <v>288</v>
      </c>
      <c r="N51" s="41">
        <v>350</v>
      </c>
      <c r="O51" s="68" t="s">
        <v>288</v>
      </c>
      <c r="P51" s="41">
        <v>391.4</v>
      </c>
      <c r="Q51" s="68" t="s">
        <v>288</v>
      </c>
      <c r="R51" s="41">
        <v>0</v>
      </c>
      <c r="S51" s="68" t="s">
        <v>288</v>
      </c>
    </row>
    <row r="52" spans="1:19" x14ac:dyDescent="0.3">
      <c r="A52" s="57" t="s">
        <v>46</v>
      </c>
      <c r="B52" s="57"/>
      <c r="C52" s="57" t="s">
        <v>248</v>
      </c>
      <c r="D52" s="58"/>
      <c r="E52" s="59"/>
      <c r="F52" s="60"/>
      <c r="G52" s="61">
        <f>SUM(G39:G51)</f>
        <v>1827</v>
      </c>
      <c r="H52" s="60"/>
      <c r="I52" s="61">
        <f>SUM(I39:I51)</f>
        <v>2181.25</v>
      </c>
      <c r="J52" s="60"/>
      <c r="K52" s="61">
        <f>SUM(K39:K51)</f>
        <v>1595</v>
      </c>
      <c r="L52" s="60"/>
      <c r="M52" s="61">
        <f>SUM(M39:M51)</f>
        <v>2154.4</v>
      </c>
      <c r="N52" s="60"/>
      <c r="O52" s="61">
        <f>SUM(O39:O51)</f>
        <v>1556</v>
      </c>
      <c r="P52" s="60"/>
      <c r="Q52" s="61">
        <f>SUM(Q39:Q51)</f>
        <v>1719.4</v>
      </c>
      <c r="R52" s="60"/>
      <c r="S52" s="61">
        <f>SUM(S39:S51)</f>
        <v>0</v>
      </c>
    </row>
    <row r="53" spans="1:19" x14ac:dyDescent="0.3">
      <c r="A53" s="23"/>
      <c r="B53" s="23"/>
      <c r="C53" s="23"/>
      <c r="D53" s="39"/>
      <c r="E53" s="40"/>
      <c r="F53" s="41"/>
      <c r="G53" s="42"/>
      <c r="H53" s="41"/>
      <c r="I53" s="42"/>
      <c r="J53" s="41"/>
      <c r="K53" s="42"/>
      <c r="L53" s="41"/>
      <c r="M53" s="42"/>
      <c r="N53" s="41"/>
      <c r="O53" s="42"/>
      <c r="P53" s="41"/>
      <c r="Q53" s="42"/>
      <c r="R53" s="41"/>
      <c r="S53" s="42"/>
    </row>
    <row r="54" spans="1:19" x14ac:dyDescent="0.3">
      <c r="A54" s="23" t="s">
        <v>61</v>
      </c>
      <c r="B54" s="23"/>
      <c r="C54" s="23" t="s">
        <v>263</v>
      </c>
      <c r="D54" s="39">
        <v>58</v>
      </c>
      <c r="E54" s="40" t="s">
        <v>279</v>
      </c>
      <c r="F54" s="41">
        <v>75</v>
      </c>
      <c r="G54" s="42">
        <f t="shared" si="51"/>
        <v>4350</v>
      </c>
      <c r="H54" s="41">
        <v>78.900000000000006</v>
      </c>
      <c r="I54" s="42">
        <f t="shared" si="51"/>
        <v>4576.2000000000007</v>
      </c>
      <c r="J54" s="41">
        <v>100</v>
      </c>
      <c r="K54" s="42">
        <f t="shared" ref="K54" si="87">$D54*J54</f>
        <v>5800</v>
      </c>
      <c r="L54" s="41">
        <v>102.25</v>
      </c>
      <c r="M54" s="42">
        <f t="shared" ref="M54" si="88">$D54*L54</f>
        <v>5930.5</v>
      </c>
      <c r="N54" s="41">
        <v>131.5</v>
      </c>
      <c r="O54" s="42">
        <f t="shared" ref="O54" si="89">$D54*N54</f>
        <v>7627</v>
      </c>
      <c r="P54" s="41">
        <v>81.400000000000006</v>
      </c>
      <c r="Q54" s="42">
        <f t="shared" ref="Q54" si="90">$D54*P54</f>
        <v>4721.2000000000007</v>
      </c>
      <c r="R54" s="41">
        <v>0</v>
      </c>
      <c r="S54" s="42">
        <f t="shared" ref="S54" si="91">$D54*R54</f>
        <v>0</v>
      </c>
    </row>
    <row r="55" spans="1:19" x14ac:dyDescent="0.3">
      <c r="A55" s="23" t="s">
        <v>62</v>
      </c>
      <c r="B55" s="23"/>
      <c r="C55" s="23" t="s">
        <v>264</v>
      </c>
      <c r="D55" s="39">
        <v>10</v>
      </c>
      <c r="E55" s="40" t="s">
        <v>280</v>
      </c>
      <c r="F55" s="41">
        <v>22</v>
      </c>
      <c r="G55" s="42">
        <f t="shared" si="51"/>
        <v>220</v>
      </c>
      <c r="H55" s="41">
        <v>14</v>
      </c>
      <c r="I55" s="42">
        <f t="shared" si="51"/>
        <v>140</v>
      </c>
      <c r="J55" s="41">
        <v>9</v>
      </c>
      <c r="K55" s="42">
        <f t="shared" ref="K55" si="92">$D55*J55</f>
        <v>90</v>
      </c>
      <c r="L55" s="41">
        <v>10.9</v>
      </c>
      <c r="M55" s="42">
        <f t="shared" ref="M55" si="93">$D55*L55</f>
        <v>109</v>
      </c>
      <c r="N55" s="41">
        <v>26.2</v>
      </c>
      <c r="O55" s="42">
        <f t="shared" ref="O55" si="94">$D55*N55</f>
        <v>262</v>
      </c>
      <c r="P55" s="41">
        <v>19.100000000000001</v>
      </c>
      <c r="Q55" s="42">
        <f t="shared" ref="Q55" si="95">$D55*P55</f>
        <v>191</v>
      </c>
      <c r="R55" s="41">
        <v>0</v>
      </c>
      <c r="S55" s="42">
        <f t="shared" ref="S55" si="96">$D55*R55</f>
        <v>0</v>
      </c>
    </row>
    <row r="56" spans="1:19" x14ac:dyDescent="0.3">
      <c r="A56" s="23" t="s">
        <v>63</v>
      </c>
      <c r="B56" s="23"/>
      <c r="C56" s="23" t="s">
        <v>265</v>
      </c>
      <c r="D56" s="39">
        <v>32</v>
      </c>
      <c r="E56" s="40" t="s">
        <v>280</v>
      </c>
      <c r="F56" s="41">
        <v>28</v>
      </c>
      <c r="G56" s="42">
        <f t="shared" si="51"/>
        <v>896</v>
      </c>
      <c r="H56" s="41">
        <v>33.75</v>
      </c>
      <c r="I56" s="42">
        <f t="shared" si="51"/>
        <v>1080</v>
      </c>
      <c r="J56" s="41">
        <v>40</v>
      </c>
      <c r="K56" s="42">
        <f t="shared" ref="K56" si="97">$D56*J56</f>
        <v>1280</v>
      </c>
      <c r="L56" s="41">
        <v>36</v>
      </c>
      <c r="M56" s="42">
        <f t="shared" ref="M56" si="98">$D56*L56</f>
        <v>1152</v>
      </c>
      <c r="N56" s="41">
        <v>35</v>
      </c>
      <c r="O56" s="42">
        <f t="shared" ref="O56" si="99">$D56*N56</f>
        <v>1120</v>
      </c>
      <c r="P56" s="41">
        <v>19.100000000000001</v>
      </c>
      <c r="Q56" s="42">
        <f t="shared" ref="Q56" si="100">$D56*P56</f>
        <v>611.20000000000005</v>
      </c>
      <c r="R56" s="41">
        <v>0</v>
      </c>
      <c r="S56" s="42">
        <f t="shared" ref="S56" si="101">$D56*R56</f>
        <v>0</v>
      </c>
    </row>
    <row r="57" spans="1:19" x14ac:dyDescent="0.3">
      <c r="A57" s="23" t="s">
        <v>64</v>
      </c>
      <c r="B57" s="23"/>
      <c r="C57" s="23" t="s">
        <v>266</v>
      </c>
      <c r="D57" s="39">
        <v>5</v>
      </c>
      <c r="E57" s="40" t="s">
        <v>281</v>
      </c>
      <c r="F57" s="41">
        <v>15</v>
      </c>
      <c r="G57" s="42">
        <f t="shared" si="51"/>
        <v>75</v>
      </c>
      <c r="H57" s="41">
        <v>29</v>
      </c>
      <c r="I57" s="42">
        <f t="shared" si="51"/>
        <v>145</v>
      </c>
      <c r="J57" s="41">
        <v>16</v>
      </c>
      <c r="K57" s="42">
        <f t="shared" ref="K57" si="102">$D57*J57</f>
        <v>80</v>
      </c>
      <c r="L57" s="41">
        <v>25</v>
      </c>
      <c r="M57" s="42">
        <f t="shared" ref="M57" si="103">$D57*L57</f>
        <v>125</v>
      </c>
      <c r="N57" s="41">
        <v>26</v>
      </c>
      <c r="O57" s="42">
        <f t="shared" ref="O57" si="104">$D57*N57</f>
        <v>130</v>
      </c>
      <c r="P57" s="41">
        <v>80.5</v>
      </c>
      <c r="Q57" s="42">
        <f t="shared" ref="Q57" si="105">$D57*P57</f>
        <v>402.5</v>
      </c>
      <c r="R57" s="41">
        <v>0</v>
      </c>
      <c r="S57" s="42">
        <f t="shared" ref="S57" si="106">$D57*R57</f>
        <v>0</v>
      </c>
    </row>
    <row r="58" spans="1:19" x14ac:dyDescent="0.3">
      <c r="A58" s="23" t="s">
        <v>65</v>
      </c>
      <c r="B58" s="23"/>
      <c r="C58" s="23" t="s">
        <v>267</v>
      </c>
      <c r="D58" s="39">
        <v>5</v>
      </c>
      <c r="E58" s="40" t="s">
        <v>281</v>
      </c>
      <c r="F58" s="41">
        <v>30</v>
      </c>
      <c r="G58" s="42">
        <f t="shared" si="51"/>
        <v>150</v>
      </c>
      <c r="H58" s="41">
        <v>29</v>
      </c>
      <c r="I58" s="42">
        <f t="shared" si="51"/>
        <v>145</v>
      </c>
      <c r="J58" s="41">
        <v>16</v>
      </c>
      <c r="K58" s="42">
        <f t="shared" ref="K58" si="107">$D58*J58</f>
        <v>80</v>
      </c>
      <c r="L58" s="41">
        <v>25</v>
      </c>
      <c r="M58" s="42">
        <f t="shared" ref="M58" si="108">$D58*L58</f>
        <v>125</v>
      </c>
      <c r="N58" s="41">
        <v>35</v>
      </c>
      <c r="O58" s="42">
        <f t="shared" ref="O58" si="109">$D58*N58</f>
        <v>175</v>
      </c>
      <c r="P58" s="41">
        <v>67.099999999999994</v>
      </c>
      <c r="Q58" s="42">
        <f t="shared" ref="Q58" si="110">$D58*P58</f>
        <v>335.5</v>
      </c>
      <c r="R58" s="41">
        <v>0</v>
      </c>
      <c r="S58" s="42">
        <f t="shared" ref="S58" si="111">$D58*R58</f>
        <v>0</v>
      </c>
    </row>
    <row r="59" spans="1:19" x14ac:dyDescent="0.3">
      <c r="A59" s="57" t="s">
        <v>60</v>
      </c>
      <c r="B59" s="57"/>
      <c r="C59" s="57" t="s">
        <v>262</v>
      </c>
      <c r="D59" s="58"/>
      <c r="E59" s="59"/>
      <c r="F59" s="60"/>
      <c r="G59" s="61">
        <f>SUM(G54:G58)</f>
        <v>5691</v>
      </c>
      <c r="H59" s="60"/>
      <c r="I59" s="61">
        <f>SUM(I54:I58)</f>
        <v>6086.2000000000007</v>
      </c>
      <c r="J59" s="60"/>
      <c r="K59" s="61">
        <f>SUM(K54:K58)</f>
        <v>7330</v>
      </c>
      <c r="L59" s="60"/>
      <c r="M59" s="61">
        <f>SUM(M54:M58)</f>
        <v>7441.5</v>
      </c>
      <c r="N59" s="60"/>
      <c r="O59" s="61">
        <f>SUM(O54:O58)</f>
        <v>9314</v>
      </c>
      <c r="P59" s="60"/>
      <c r="Q59" s="61">
        <f>SUM(Q54:Q58)</f>
        <v>6261.4000000000005</v>
      </c>
      <c r="R59" s="60"/>
      <c r="S59" s="61">
        <f>SUM(S54:S58)</f>
        <v>0</v>
      </c>
    </row>
    <row r="60" spans="1:19" x14ac:dyDescent="0.3">
      <c r="A60" s="23"/>
      <c r="B60" s="23"/>
      <c r="C60" s="23"/>
      <c r="D60" s="39"/>
      <c r="E60" s="40"/>
      <c r="F60" s="41"/>
      <c r="G60" s="42"/>
      <c r="H60" s="41"/>
      <c r="I60" s="42"/>
      <c r="J60" s="41"/>
      <c r="K60" s="42"/>
      <c r="L60" s="41"/>
      <c r="M60" s="42"/>
      <c r="N60" s="41"/>
      <c r="O60" s="42"/>
      <c r="P60" s="41"/>
      <c r="Q60" s="42"/>
      <c r="R60" s="41"/>
      <c r="S60" s="42"/>
    </row>
    <row r="61" spans="1:19" x14ac:dyDescent="0.3">
      <c r="A61" s="23" t="s">
        <v>67</v>
      </c>
      <c r="B61" s="23"/>
      <c r="C61" s="23" t="s">
        <v>269</v>
      </c>
      <c r="D61" s="39">
        <v>5</v>
      </c>
      <c r="E61" s="40" t="s">
        <v>280</v>
      </c>
      <c r="F61" s="41">
        <v>38</v>
      </c>
      <c r="G61" s="42">
        <f t="shared" si="51"/>
        <v>190</v>
      </c>
      <c r="H61" s="41">
        <v>80</v>
      </c>
      <c r="I61" s="42">
        <f t="shared" si="51"/>
        <v>400</v>
      </c>
      <c r="J61" s="41">
        <v>100</v>
      </c>
      <c r="K61" s="42">
        <f t="shared" ref="K61" si="112">$D61*J61</f>
        <v>500</v>
      </c>
      <c r="L61" s="41">
        <v>39.5</v>
      </c>
      <c r="M61" s="42">
        <f t="shared" ref="M61" si="113">$D61*L61</f>
        <v>197.5</v>
      </c>
      <c r="N61" s="41">
        <v>65.2</v>
      </c>
      <c r="O61" s="42">
        <f t="shared" ref="O61" si="114">$D61*N61</f>
        <v>326</v>
      </c>
      <c r="P61" s="41">
        <v>62</v>
      </c>
      <c r="Q61" s="42">
        <f t="shared" ref="Q61" si="115">$D61*P61</f>
        <v>310</v>
      </c>
      <c r="R61" s="41">
        <v>0</v>
      </c>
      <c r="S61" s="42">
        <f t="shared" ref="S61" si="116">$D61*R61</f>
        <v>0</v>
      </c>
    </row>
    <row r="62" spans="1:19" x14ac:dyDescent="0.3">
      <c r="A62" s="23" t="s">
        <v>68</v>
      </c>
      <c r="B62" s="23" t="s">
        <v>220</v>
      </c>
      <c r="C62" s="23" t="s">
        <v>270</v>
      </c>
      <c r="D62" s="39">
        <v>1</v>
      </c>
      <c r="E62" s="40" t="s">
        <v>280</v>
      </c>
      <c r="F62" s="41">
        <v>48</v>
      </c>
      <c r="G62" s="68" t="s">
        <v>288</v>
      </c>
      <c r="H62" s="41">
        <v>85</v>
      </c>
      <c r="I62" s="68" t="s">
        <v>288</v>
      </c>
      <c r="J62" s="41">
        <v>110</v>
      </c>
      <c r="K62" s="68" t="s">
        <v>288</v>
      </c>
      <c r="L62" s="41">
        <v>48.5</v>
      </c>
      <c r="M62" s="68" t="s">
        <v>288</v>
      </c>
      <c r="N62" s="41">
        <v>95</v>
      </c>
      <c r="O62" s="68" t="s">
        <v>288</v>
      </c>
      <c r="P62" s="41">
        <v>68.7</v>
      </c>
      <c r="Q62" s="68" t="s">
        <v>288</v>
      </c>
      <c r="R62" s="41">
        <v>0</v>
      </c>
      <c r="S62" s="68" t="s">
        <v>288</v>
      </c>
    </row>
    <row r="63" spans="1:19" x14ac:dyDescent="0.3">
      <c r="A63" s="23" t="s">
        <v>69</v>
      </c>
      <c r="B63" s="23"/>
      <c r="C63" s="23" t="s">
        <v>271</v>
      </c>
      <c r="D63" s="39">
        <v>5.6</v>
      </c>
      <c r="E63" s="40" t="s">
        <v>280</v>
      </c>
      <c r="F63" s="41">
        <v>65</v>
      </c>
      <c r="G63" s="42">
        <f t="shared" si="51"/>
        <v>364</v>
      </c>
      <c r="H63" s="41">
        <v>80</v>
      </c>
      <c r="I63" s="42">
        <f t="shared" si="51"/>
        <v>448</v>
      </c>
      <c r="J63" s="41">
        <v>150</v>
      </c>
      <c r="K63" s="42">
        <f t="shared" ref="K63" si="117">$D63*J63</f>
        <v>840</v>
      </c>
      <c r="L63" s="41">
        <v>90</v>
      </c>
      <c r="M63" s="42">
        <f t="shared" ref="M63" si="118">$D63*L63</f>
        <v>503.99999999999994</v>
      </c>
      <c r="N63" s="41">
        <v>84.4</v>
      </c>
      <c r="O63" s="42">
        <f t="shared" ref="O63" si="119">$D63*N63</f>
        <v>472.64</v>
      </c>
      <c r="P63" s="41">
        <v>171.8</v>
      </c>
      <c r="Q63" s="42">
        <f t="shared" ref="Q63" si="120">$D63*P63</f>
        <v>962.08</v>
      </c>
      <c r="R63" s="41">
        <v>0</v>
      </c>
      <c r="S63" s="42">
        <f t="shared" ref="S63" si="121">$D63*R63</f>
        <v>0</v>
      </c>
    </row>
    <row r="64" spans="1:19" x14ac:dyDescent="0.3">
      <c r="A64" s="23" t="s">
        <v>70</v>
      </c>
      <c r="B64" s="23"/>
      <c r="C64" s="23" t="s">
        <v>272</v>
      </c>
      <c r="D64" s="39">
        <v>7.7</v>
      </c>
      <c r="E64" s="40" t="s">
        <v>280</v>
      </c>
      <c r="F64" s="41">
        <v>6.5</v>
      </c>
      <c r="G64" s="42">
        <f t="shared" si="51"/>
        <v>50.050000000000004</v>
      </c>
      <c r="H64" s="41">
        <v>7.5</v>
      </c>
      <c r="I64" s="42">
        <f t="shared" si="51"/>
        <v>57.75</v>
      </c>
      <c r="J64" s="41">
        <v>7</v>
      </c>
      <c r="K64" s="42">
        <f t="shared" ref="K64" si="122">$D64*J64</f>
        <v>53.9</v>
      </c>
      <c r="L64" s="41">
        <v>4</v>
      </c>
      <c r="M64" s="42">
        <f t="shared" ref="M64" si="123">$D64*L64</f>
        <v>30.8</v>
      </c>
      <c r="N64" s="41">
        <v>6.9</v>
      </c>
      <c r="O64" s="42">
        <f t="shared" ref="O64" si="124">$D64*N64</f>
        <v>53.13</v>
      </c>
      <c r="P64" s="41">
        <v>10.7</v>
      </c>
      <c r="Q64" s="42">
        <f t="shared" ref="Q64" si="125">$D64*P64</f>
        <v>82.39</v>
      </c>
      <c r="R64" s="41">
        <v>0</v>
      </c>
      <c r="S64" s="42">
        <f t="shared" ref="S64" si="126">$D64*R64</f>
        <v>0</v>
      </c>
    </row>
    <row r="65" spans="1:19" x14ac:dyDescent="0.3">
      <c r="A65" s="57" t="s">
        <v>66</v>
      </c>
      <c r="B65" s="57"/>
      <c r="C65" s="57" t="s">
        <v>268</v>
      </c>
      <c r="D65" s="58"/>
      <c r="E65" s="59"/>
      <c r="F65" s="60"/>
      <c r="G65" s="61">
        <f>SUM(G61:G64)</f>
        <v>604.04999999999995</v>
      </c>
      <c r="H65" s="60"/>
      <c r="I65" s="61">
        <f>SUM(I61:I64)</f>
        <v>905.75</v>
      </c>
      <c r="J65" s="60"/>
      <c r="K65" s="61">
        <f>SUM(K61:K64)</f>
        <v>1393.9</v>
      </c>
      <c r="L65" s="60"/>
      <c r="M65" s="61">
        <f>SUM(M61:M64)</f>
        <v>732.3</v>
      </c>
      <c r="N65" s="60"/>
      <c r="O65" s="61">
        <f>SUM(O61:O64)</f>
        <v>851.77</v>
      </c>
      <c r="P65" s="60"/>
      <c r="Q65" s="61">
        <f>SUM(Q61:Q64)</f>
        <v>1354.47</v>
      </c>
      <c r="R65" s="60"/>
      <c r="S65" s="61">
        <f>SUM(S61:S64)</f>
        <v>0</v>
      </c>
    </row>
    <row r="66" spans="1:19" x14ac:dyDescent="0.3">
      <c r="A66" s="23"/>
      <c r="B66" s="23"/>
      <c r="C66" s="23"/>
      <c r="D66" s="39"/>
      <c r="E66" s="40"/>
      <c r="F66" s="41"/>
      <c r="G66" s="42"/>
      <c r="H66" s="41"/>
      <c r="I66" s="42"/>
      <c r="J66" s="41"/>
      <c r="K66" s="42"/>
      <c r="L66" s="41"/>
      <c r="M66" s="42"/>
      <c r="N66" s="41"/>
      <c r="O66" s="42"/>
      <c r="P66" s="41"/>
      <c r="Q66" s="42"/>
      <c r="R66" s="41"/>
      <c r="S66" s="42"/>
    </row>
    <row r="67" spans="1:19" x14ac:dyDescent="0.3">
      <c r="A67" s="62" t="s">
        <v>71</v>
      </c>
      <c r="B67" s="62"/>
      <c r="C67" s="62" t="s">
        <v>273</v>
      </c>
      <c r="D67" s="63"/>
      <c r="E67" s="64"/>
      <c r="F67" s="65"/>
      <c r="G67" s="66"/>
      <c r="H67" s="65"/>
      <c r="I67" s="66"/>
      <c r="J67" s="65"/>
      <c r="K67" s="66"/>
      <c r="L67" s="65"/>
      <c r="M67" s="66"/>
      <c r="N67" s="65"/>
      <c r="O67" s="66"/>
      <c r="P67" s="65"/>
      <c r="Q67" s="66"/>
      <c r="R67" s="65"/>
      <c r="S67" s="66"/>
    </row>
    <row r="68" spans="1:19" x14ac:dyDescent="0.3">
      <c r="A68" s="23" t="s">
        <v>73</v>
      </c>
      <c r="B68" s="23"/>
      <c r="C68" s="23" t="s">
        <v>223</v>
      </c>
      <c r="D68" s="39">
        <v>1414</v>
      </c>
      <c r="E68" s="40" t="s">
        <v>279</v>
      </c>
      <c r="F68" s="41">
        <v>54</v>
      </c>
      <c r="G68" s="42">
        <f t="shared" si="51"/>
        <v>76356</v>
      </c>
      <c r="H68" s="41">
        <v>61.5</v>
      </c>
      <c r="I68" s="42">
        <f t="shared" si="51"/>
        <v>86961</v>
      </c>
      <c r="J68" s="41">
        <v>60.5</v>
      </c>
      <c r="K68" s="42">
        <f t="shared" ref="K68" si="127">$D68*J68</f>
        <v>85547</v>
      </c>
      <c r="L68" s="41">
        <v>59.95</v>
      </c>
      <c r="M68" s="42">
        <f t="shared" ref="M68" si="128">$D68*L68</f>
        <v>84769.3</v>
      </c>
      <c r="N68" s="41">
        <v>54.1</v>
      </c>
      <c r="O68" s="42">
        <f t="shared" ref="O68" si="129">$D68*N68</f>
        <v>76497.400000000009</v>
      </c>
      <c r="P68" s="41">
        <v>64.3</v>
      </c>
      <c r="Q68" s="42">
        <f t="shared" ref="Q68" si="130">$D68*P68</f>
        <v>90920.2</v>
      </c>
      <c r="R68" s="41">
        <v>0</v>
      </c>
      <c r="S68" s="42">
        <f t="shared" ref="S68" si="131">$D68*R68</f>
        <v>0</v>
      </c>
    </row>
    <row r="69" spans="1:19" x14ac:dyDescent="0.3">
      <c r="A69" s="23" t="s">
        <v>74</v>
      </c>
      <c r="B69" s="23"/>
      <c r="C69" s="23" t="s">
        <v>224</v>
      </c>
      <c r="D69" s="39">
        <v>3</v>
      </c>
      <c r="E69" s="40" t="s">
        <v>279</v>
      </c>
      <c r="F69" s="41">
        <v>56</v>
      </c>
      <c r="G69" s="42">
        <f t="shared" si="51"/>
        <v>168</v>
      </c>
      <c r="H69" s="41">
        <v>62.6</v>
      </c>
      <c r="I69" s="42">
        <f t="shared" si="51"/>
        <v>187.8</v>
      </c>
      <c r="J69" s="41">
        <v>61.5</v>
      </c>
      <c r="K69" s="42">
        <f t="shared" ref="K69" si="132">$D69*J69</f>
        <v>184.5</v>
      </c>
      <c r="L69" s="41">
        <v>60.95</v>
      </c>
      <c r="M69" s="42">
        <f t="shared" ref="M69" si="133">$D69*L69</f>
        <v>182.85000000000002</v>
      </c>
      <c r="N69" s="41">
        <v>55.25</v>
      </c>
      <c r="O69" s="42">
        <f t="shared" ref="O69" si="134">$D69*N69</f>
        <v>165.75</v>
      </c>
      <c r="P69" s="41">
        <v>97.4</v>
      </c>
      <c r="Q69" s="42">
        <f t="shared" ref="Q69" si="135">$D69*P69</f>
        <v>292.20000000000005</v>
      </c>
      <c r="R69" s="41">
        <v>0</v>
      </c>
      <c r="S69" s="42">
        <f t="shared" ref="S69" si="136">$D69*R69</f>
        <v>0</v>
      </c>
    </row>
    <row r="70" spans="1:19" x14ac:dyDescent="0.3">
      <c r="A70" s="23" t="s">
        <v>75</v>
      </c>
      <c r="B70" s="23"/>
      <c r="C70" s="23" t="s">
        <v>274</v>
      </c>
      <c r="D70" s="39">
        <v>3</v>
      </c>
      <c r="E70" s="40" t="s">
        <v>279</v>
      </c>
      <c r="F70" s="41">
        <v>85</v>
      </c>
      <c r="G70" s="42">
        <f t="shared" si="51"/>
        <v>255</v>
      </c>
      <c r="H70" s="41">
        <v>67.5</v>
      </c>
      <c r="I70" s="42">
        <f t="shared" si="51"/>
        <v>202.5</v>
      </c>
      <c r="J70" s="41">
        <v>63</v>
      </c>
      <c r="K70" s="42">
        <f t="shared" ref="K70" si="137">$D70*J70</f>
        <v>189</v>
      </c>
      <c r="L70" s="41">
        <v>62.95</v>
      </c>
      <c r="M70" s="42">
        <f t="shared" ref="M70" si="138">$D70*L70</f>
        <v>188.85000000000002</v>
      </c>
      <c r="N70" s="41">
        <v>56.85</v>
      </c>
      <c r="O70" s="42">
        <f t="shared" ref="O70" si="139">$D70*N70</f>
        <v>170.55</v>
      </c>
      <c r="P70" s="41">
        <v>91.3</v>
      </c>
      <c r="Q70" s="42">
        <f t="shared" ref="Q70" si="140">$D70*P70</f>
        <v>273.89999999999998</v>
      </c>
      <c r="R70" s="41">
        <v>0</v>
      </c>
      <c r="S70" s="42">
        <f t="shared" ref="S70" si="141">$D70*R70</f>
        <v>0</v>
      </c>
    </row>
    <row r="71" spans="1:19" x14ac:dyDescent="0.3">
      <c r="A71" s="23" t="s">
        <v>76</v>
      </c>
      <c r="B71" s="23"/>
      <c r="C71" s="23" t="s">
        <v>275</v>
      </c>
      <c r="D71" s="39">
        <v>23</v>
      </c>
      <c r="E71" s="40" t="s">
        <v>279</v>
      </c>
      <c r="F71" s="41">
        <v>65</v>
      </c>
      <c r="G71" s="42">
        <f t="shared" si="51"/>
        <v>1495</v>
      </c>
      <c r="H71" s="41">
        <v>65.5</v>
      </c>
      <c r="I71" s="42">
        <f t="shared" si="51"/>
        <v>1506.5</v>
      </c>
      <c r="J71" s="41">
        <v>64.5</v>
      </c>
      <c r="K71" s="42">
        <f t="shared" ref="K71" si="142">$D71*J71</f>
        <v>1483.5</v>
      </c>
      <c r="L71" s="41">
        <v>86.5</v>
      </c>
      <c r="M71" s="42">
        <f t="shared" ref="M71" si="143">$D71*L71</f>
        <v>1989.5</v>
      </c>
      <c r="N71" s="41">
        <v>66.2</v>
      </c>
      <c r="O71" s="42">
        <f t="shared" ref="O71" si="144">$D71*N71</f>
        <v>1522.6000000000001</v>
      </c>
      <c r="P71" s="41">
        <v>68.099999999999994</v>
      </c>
      <c r="Q71" s="42">
        <f t="shared" ref="Q71" si="145">$D71*P71</f>
        <v>1566.3</v>
      </c>
      <c r="R71" s="41">
        <v>0</v>
      </c>
      <c r="S71" s="42">
        <f t="shared" ref="S71" si="146">$D71*R71</f>
        <v>0</v>
      </c>
    </row>
    <row r="72" spans="1:19" x14ac:dyDescent="0.3">
      <c r="A72" s="23" t="s">
        <v>77</v>
      </c>
      <c r="B72" s="23"/>
      <c r="C72" s="23" t="s">
        <v>225</v>
      </c>
      <c r="D72" s="39">
        <v>6</v>
      </c>
      <c r="E72" s="40" t="s">
        <v>279</v>
      </c>
      <c r="F72" s="41">
        <v>65</v>
      </c>
      <c r="G72" s="42">
        <f t="shared" si="51"/>
        <v>390</v>
      </c>
      <c r="H72" s="41">
        <v>79.5</v>
      </c>
      <c r="I72" s="42">
        <f t="shared" si="51"/>
        <v>477</v>
      </c>
      <c r="J72" s="41">
        <v>78</v>
      </c>
      <c r="K72" s="42">
        <f t="shared" ref="K72" si="147">$D72*J72</f>
        <v>468</v>
      </c>
      <c r="L72" s="41">
        <v>85.5</v>
      </c>
      <c r="M72" s="42">
        <f t="shared" ref="M72" si="148">$D72*L72</f>
        <v>513</v>
      </c>
      <c r="N72" s="41">
        <v>77.5</v>
      </c>
      <c r="O72" s="42">
        <f t="shared" ref="O72" si="149">$D72*N72</f>
        <v>465</v>
      </c>
      <c r="P72" s="41">
        <v>83.7</v>
      </c>
      <c r="Q72" s="42">
        <f t="shared" ref="Q72" si="150">$D72*P72</f>
        <v>502.20000000000005</v>
      </c>
      <c r="R72" s="41">
        <v>0</v>
      </c>
      <c r="S72" s="42">
        <f t="shared" ref="S72" si="151">$D72*R72</f>
        <v>0</v>
      </c>
    </row>
    <row r="73" spans="1:19" x14ac:dyDescent="0.3">
      <c r="A73" s="23" t="s">
        <v>78</v>
      </c>
      <c r="B73" s="23"/>
      <c r="C73" s="23" t="s">
        <v>226</v>
      </c>
      <c r="D73" s="39">
        <v>3</v>
      </c>
      <c r="E73" s="40" t="s">
        <v>279</v>
      </c>
      <c r="F73" s="41">
        <v>65</v>
      </c>
      <c r="G73" s="42">
        <f t="shared" si="51"/>
        <v>195</v>
      </c>
      <c r="H73" s="41">
        <v>115</v>
      </c>
      <c r="I73" s="42">
        <f t="shared" si="51"/>
        <v>345</v>
      </c>
      <c r="J73" s="41">
        <v>128</v>
      </c>
      <c r="K73" s="42">
        <f t="shared" ref="K73" si="152">$D73*J73</f>
        <v>384</v>
      </c>
      <c r="L73" s="41">
        <v>95</v>
      </c>
      <c r="M73" s="42">
        <f t="shared" ref="M73" si="153">$D73*L73</f>
        <v>285</v>
      </c>
      <c r="N73" s="41">
        <v>79.900000000000006</v>
      </c>
      <c r="O73" s="42">
        <f t="shared" ref="O73" si="154">$D73*N73</f>
        <v>239.70000000000002</v>
      </c>
      <c r="P73" s="41">
        <v>104.5</v>
      </c>
      <c r="Q73" s="42">
        <f t="shared" ref="Q73" si="155">$D73*P73</f>
        <v>313.5</v>
      </c>
      <c r="R73" s="41">
        <v>0</v>
      </c>
      <c r="S73" s="42">
        <f t="shared" ref="S73" si="156">$D73*R73</f>
        <v>0</v>
      </c>
    </row>
    <row r="74" spans="1:19" x14ac:dyDescent="0.3">
      <c r="A74" s="23" t="s">
        <v>79</v>
      </c>
      <c r="B74" s="23" t="s">
        <v>220</v>
      </c>
      <c r="C74" s="23" t="s">
        <v>227</v>
      </c>
      <c r="D74" s="39">
        <v>10</v>
      </c>
      <c r="E74" s="40" t="s">
        <v>279</v>
      </c>
      <c r="F74" s="41">
        <v>6.95</v>
      </c>
      <c r="G74" s="68" t="s">
        <v>288</v>
      </c>
      <c r="H74" s="41">
        <v>20</v>
      </c>
      <c r="I74" s="68" t="s">
        <v>288</v>
      </c>
      <c r="J74" s="41">
        <v>13</v>
      </c>
      <c r="K74" s="68" t="s">
        <v>288</v>
      </c>
      <c r="L74" s="41">
        <v>5</v>
      </c>
      <c r="M74" s="68" t="s">
        <v>288</v>
      </c>
      <c r="N74" s="41">
        <v>18</v>
      </c>
      <c r="O74" s="68" t="s">
        <v>288</v>
      </c>
      <c r="P74" s="41">
        <v>121.3</v>
      </c>
      <c r="Q74" s="68" t="s">
        <v>288</v>
      </c>
      <c r="R74" s="41">
        <v>0</v>
      </c>
      <c r="S74" s="68" t="s">
        <v>288</v>
      </c>
    </row>
    <row r="75" spans="1:19" x14ac:dyDescent="0.3">
      <c r="A75" s="23" t="s">
        <v>80</v>
      </c>
      <c r="B75" s="23" t="s">
        <v>220</v>
      </c>
      <c r="C75" s="23" t="s">
        <v>228</v>
      </c>
      <c r="D75" s="39">
        <v>1</v>
      </c>
      <c r="E75" s="40" t="s">
        <v>280</v>
      </c>
      <c r="F75" s="41">
        <v>2</v>
      </c>
      <c r="G75" s="68" t="s">
        <v>288</v>
      </c>
      <c r="H75" s="41">
        <v>20</v>
      </c>
      <c r="I75" s="68" t="s">
        <v>288</v>
      </c>
      <c r="J75" s="41">
        <v>50</v>
      </c>
      <c r="K75" s="68" t="s">
        <v>288</v>
      </c>
      <c r="L75" s="41">
        <v>12.5</v>
      </c>
      <c r="M75" s="68" t="s">
        <v>288</v>
      </c>
      <c r="N75" s="41">
        <v>46.2</v>
      </c>
      <c r="O75" s="68" t="s">
        <v>288</v>
      </c>
      <c r="P75" s="41">
        <v>110.4</v>
      </c>
      <c r="Q75" s="68" t="s">
        <v>288</v>
      </c>
      <c r="R75" s="41">
        <v>0</v>
      </c>
      <c r="S75" s="68" t="s">
        <v>288</v>
      </c>
    </row>
    <row r="76" spans="1:19" x14ac:dyDescent="0.3">
      <c r="A76" s="23" t="s">
        <v>81</v>
      </c>
      <c r="B76" s="23"/>
      <c r="C76" s="23" t="s">
        <v>229</v>
      </c>
      <c r="D76" s="39">
        <v>120</v>
      </c>
      <c r="E76" s="40" t="s">
        <v>280</v>
      </c>
      <c r="F76" s="41">
        <v>7.5</v>
      </c>
      <c r="G76" s="42">
        <f t="shared" si="51"/>
        <v>900</v>
      </c>
      <c r="H76" s="41">
        <v>21</v>
      </c>
      <c r="I76" s="42">
        <f t="shared" si="51"/>
        <v>2520</v>
      </c>
      <c r="J76" s="41">
        <v>21</v>
      </c>
      <c r="K76" s="42">
        <f t="shared" ref="K76" si="157">$D76*J76</f>
        <v>2520</v>
      </c>
      <c r="L76" s="41">
        <v>28.2</v>
      </c>
      <c r="M76" s="42">
        <f t="shared" ref="M76" si="158">$D76*L76</f>
        <v>3384</v>
      </c>
      <c r="N76" s="41">
        <v>11.5</v>
      </c>
      <c r="O76" s="42">
        <f t="shared" ref="O76" si="159">$D76*N76</f>
        <v>1380</v>
      </c>
      <c r="P76" s="41">
        <v>31.5</v>
      </c>
      <c r="Q76" s="42">
        <f t="shared" ref="Q76" si="160">$D76*P76</f>
        <v>3780</v>
      </c>
      <c r="R76" s="41">
        <v>0</v>
      </c>
      <c r="S76" s="42">
        <f t="shared" ref="S76" si="161">$D76*R76</f>
        <v>0</v>
      </c>
    </row>
    <row r="77" spans="1:19" x14ac:dyDescent="0.3">
      <c r="A77" s="23" t="s">
        <v>82</v>
      </c>
      <c r="B77" s="23" t="s">
        <v>220</v>
      </c>
      <c r="C77" s="23" t="s">
        <v>230</v>
      </c>
      <c r="D77" s="39">
        <v>1</v>
      </c>
      <c r="E77" s="40" t="s">
        <v>279</v>
      </c>
      <c r="F77" s="41">
        <v>22</v>
      </c>
      <c r="G77" s="68" t="s">
        <v>288</v>
      </c>
      <c r="H77" s="41">
        <v>24</v>
      </c>
      <c r="I77" s="68" t="s">
        <v>288</v>
      </c>
      <c r="J77" s="41">
        <v>20.5</v>
      </c>
      <c r="K77" s="68" t="s">
        <v>288</v>
      </c>
      <c r="L77" s="41">
        <v>14.5</v>
      </c>
      <c r="M77" s="68" t="s">
        <v>288</v>
      </c>
      <c r="N77" s="41">
        <v>18.5</v>
      </c>
      <c r="O77" s="68" t="s">
        <v>288</v>
      </c>
      <c r="P77" s="41">
        <v>27.4</v>
      </c>
      <c r="Q77" s="68" t="s">
        <v>288</v>
      </c>
      <c r="R77" s="41">
        <v>0</v>
      </c>
      <c r="S77" s="68" t="s">
        <v>288</v>
      </c>
    </row>
    <row r="78" spans="1:19" x14ac:dyDescent="0.3">
      <c r="A78" s="23" t="s">
        <v>83</v>
      </c>
      <c r="B78" s="23" t="s">
        <v>220</v>
      </c>
      <c r="C78" s="23" t="s">
        <v>231</v>
      </c>
      <c r="D78" s="39">
        <v>1</v>
      </c>
      <c r="E78" s="40" t="s">
        <v>279</v>
      </c>
      <c r="F78" s="41">
        <v>6</v>
      </c>
      <c r="G78" s="68" t="s">
        <v>288</v>
      </c>
      <c r="H78" s="41">
        <v>8.5</v>
      </c>
      <c r="I78" s="68" t="s">
        <v>288</v>
      </c>
      <c r="J78" s="41">
        <v>7</v>
      </c>
      <c r="K78" s="68" t="s">
        <v>288</v>
      </c>
      <c r="L78" s="41">
        <v>4</v>
      </c>
      <c r="M78" s="68" t="s">
        <v>288</v>
      </c>
      <c r="N78" s="41">
        <v>12</v>
      </c>
      <c r="O78" s="68" t="s">
        <v>288</v>
      </c>
      <c r="P78" s="41">
        <v>11.5</v>
      </c>
      <c r="Q78" s="68" t="s">
        <v>288</v>
      </c>
      <c r="R78" s="41">
        <v>0</v>
      </c>
      <c r="S78" s="68" t="s">
        <v>288</v>
      </c>
    </row>
    <row r="79" spans="1:19" x14ac:dyDescent="0.3">
      <c r="A79" s="23" t="s">
        <v>84</v>
      </c>
      <c r="B79" s="23" t="s">
        <v>220</v>
      </c>
      <c r="C79" s="23" t="s">
        <v>232</v>
      </c>
      <c r="D79" s="39">
        <v>1</v>
      </c>
      <c r="E79" s="40" t="s">
        <v>279</v>
      </c>
      <c r="F79" s="41">
        <v>15</v>
      </c>
      <c r="G79" s="68" t="s">
        <v>288</v>
      </c>
      <c r="H79" s="41">
        <v>7.5</v>
      </c>
      <c r="I79" s="68" t="s">
        <v>288</v>
      </c>
      <c r="J79" s="41">
        <v>7</v>
      </c>
      <c r="K79" s="68" t="s">
        <v>288</v>
      </c>
      <c r="L79" s="41">
        <v>5.2</v>
      </c>
      <c r="M79" s="68" t="s">
        <v>288</v>
      </c>
      <c r="N79" s="41">
        <v>27.2</v>
      </c>
      <c r="O79" s="68" t="s">
        <v>288</v>
      </c>
      <c r="P79" s="41">
        <v>66.8</v>
      </c>
      <c r="Q79" s="68" t="s">
        <v>288</v>
      </c>
      <c r="R79" s="41">
        <v>0</v>
      </c>
      <c r="S79" s="68" t="s">
        <v>288</v>
      </c>
    </row>
    <row r="80" spans="1:19" x14ac:dyDescent="0.3">
      <c r="A80" s="23" t="s">
        <v>85</v>
      </c>
      <c r="B80" s="23"/>
      <c r="C80" s="23" t="s">
        <v>233</v>
      </c>
      <c r="D80" s="39">
        <v>34</v>
      </c>
      <c r="E80" s="40" t="s">
        <v>281</v>
      </c>
      <c r="F80" s="41">
        <v>73</v>
      </c>
      <c r="G80" s="42">
        <f t="shared" si="51"/>
        <v>2482</v>
      </c>
      <c r="H80" s="41">
        <v>165</v>
      </c>
      <c r="I80" s="42">
        <f t="shared" si="51"/>
        <v>5610</v>
      </c>
      <c r="J80" s="41">
        <v>250</v>
      </c>
      <c r="K80" s="42">
        <f t="shared" ref="K80" si="162">$D80*J80</f>
        <v>8500</v>
      </c>
      <c r="L80" s="41">
        <v>272.10000000000002</v>
      </c>
      <c r="M80" s="42">
        <f t="shared" ref="M80" si="163">$D80*L80</f>
        <v>9251.4000000000015</v>
      </c>
      <c r="N80" s="41">
        <v>2.2000000000000002</v>
      </c>
      <c r="O80" s="42">
        <f t="shared" ref="O80" si="164">$D80*N80</f>
        <v>74.800000000000011</v>
      </c>
      <c r="P80" s="41">
        <v>422.2</v>
      </c>
      <c r="Q80" s="42">
        <f t="shared" ref="Q80" si="165">$D80*P80</f>
        <v>14354.8</v>
      </c>
      <c r="R80" s="41">
        <v>0</v>
      </c>
      <c r="S80" s="42">
        <f t="shared" ref="S80" si="166">$D80*R80</f>
        <v>0</v>
      </c>
    </row>
    <row r="81" spans="1:19" x14ac:dyDescent="0.3">
      <c r="A81" s="23" t="s">
        <v>86</v>
      </c>
      <c r="B81" s="23"/>
      <c r="C81" s="23" t="s">
        <v>234</v>
      </c>
      <c r="D81" s="39">
        <v>6</v>
      </c>
      <c r="E81" s="40" t="s">
        <v>281</v>
      </c>
      <c r="F81" s="41">
        <v>62</v>
      </c>
      <c r="G81" s="42">
        <f t="shared" si="51"/>
        <v>372</v>
      </c>
      <c r="H81" s="41">
        <v>82.5</v>
      </c>
      <c r="I81" s="42">
        <f t="shared" si="51"/>
        <v>495</v>
      </c>
      <c r="J81" s="41">
        <v>71.5</v>
      </c>
      <c r="K81" s="42">
        <f t="shared" ref="K81" si="167">$D81*J81</f>
        <v>429</v>
      </c>
      <c r="L81" s="41">
        <v>65</v>
      </c>
      <c r="M81" s="42">
        <f t="shared" ref="M81" si="168">$D81*L81</f>
        <v>390</v>
      </c>
      <c r="N81" s="41">
        <v>102</v>
      </c>
      <c r="O81" s="42">
        <f t="shared" ref="O81" si="169">$D81*N81</f>
        <v>612</v>
      </c>
      <c r="P81" s="41">
        <v>85.8</v>
      </c>
      <c r="Q81" s="42">
        <f t="shared" ref="Q81" si="170">$D81*P81</f>
        <v>514.79999999999995</v>
      </c>
      <c r="R81" s="41">
        <v>0</v>
      </c>
      <c r="S81" s="42">
        <f t="shared" ref="S81" si="171">$D81*R81</f>
        <v>0</v>
      </c>
    </row>
    <row r="82" spans="1:19" x14ac:dyDescent="0.3">
      <c r="A82" s="23" t="s">
        <v>87</v>
      </c>
      <c r="B82" s="23"/>
      <c r="C82" s="23" t="s">
        <v>235</v>
      </c>
      <c r="D82" s="39">
        <v>47</v>
      </c>
      <c r="E82" s="40" t="s">
        <v>281</v>
      </c>
      <c r="F82" s="41">
        <v>65</v>
      </c>
      <c r="G82" s="42">
        <f t="shared" si="51"/>
        <v>3055</v>
      </c>
      <c r="H82" s="41">
        <v>82.5</v>
      </c>
      <c r="I82" s="42">
        <f t="shared" si="51"/>
        <v>3877.5</v>
      </c>
      <c r="J82" s="41">
        <v>91.5</v>
      </c>
      <c r="K82" s="42">
        <f t="shared" ref="K82" si="172">$D82*J82</f>
        <v>4300.5</v>
      </c>
      <c r="L82" s="41">
        <v>65</v>
      </c>
      <c r="M82" s="42">
        <f t="shared" ref="M82" si="173">$D82*L82</f>
        <v>3055</v>
      </c>
      <c r="N82" s="41">
        <v>125</v>
      </c>
      <c r="O82" s="42">
        <f t="shared" ref="O82" si="174">$D82*N82</f>
        <v>5875</v>
      </c>
      <c r="P82" s="41">
        <v>136.1</v>
      </c>
      <c r="Q82" s="42">
        <f t="shared" ref="Q82" si="175">$D82*P82</f>
        <v>6396.7</v>
      </c>
      <c r="R82" s="41">
        <v>0</v>
      </c>
      <c r="S82" s="42">
        <f t="shared" ref="S82" si="176">$D82*R82</f>
        <v>0</v>
      </c>
    </row>
    <row r="83" spans="1:19" x14ac:dyDescent="0.3">
      <c r="A83" s="23" t="s">
        <v>88</v>
      </c>
      <c r="B83" s="23" t="s">
        <v>220</v>
      </c>
      <c r="C83" s="23" t="s">
        <v>236</v>
      </c>
      <c r="D83" s="39">
        <v>1</v>
      </c>
      <c r="E83" s="40" t="s">
        <v>281</v>
      </c>
      <c r="F83" s="41">
        <v>75</v>
      </c>
      <c r="G83" s="68" t="s">
        <v>288</v>
      </c>
      <c r="H83" s="41">
        <v>87.5</v>
      </c>
      <c r="I83" s="68" t="s">
        <v>288</v>
      </c>
      <c r="J83" s="41">
        <v>190</v>
      </c>
      <c r="K83" s="68" t="s">
        <v>288</v>
      </c>
      <c r="L83" s="41">
        <v>90</v>
      </c>
      <c r="M83" s="68" t="s">
        <v>288</v>
      </c>
      <c r="N83" s="41">
        <v>210</v>
      </c>
      <c r="O83" s="68" t="s">
        <v>288</v>
      </c>
      <c r="P83" s="41">
        <v>153.5</v>
      </c>
      <c r="Q83" s="68" t="s">
        <v>288</v>
      </c>
      <c r="R83" s="41">
        <v>0</v>
      </c>
      <c r="S83" s="68" t="s">
        <v>288</v>
      </c>
    </row>
    <row r="84" spans="1:19" x14ac:dyDescent="0.3">
      <c r="A84" s="23" t="s">
        <v>89</v>
      </c>
      <c r="B84" s="23"/>
      <c r="C84" s="23" t="s">
        <v>237</v>
      </c>
      <c r="D84" s="39">
        <v>56</v>
      </c>
      <c r="E84" s="40" t="s">
        <v>281</v>
      </c>
      <c r="F84" s="41">
        <v>250</v>
      </c>
      <c r="G84" s="42">
        <f t="shared" si="51"/>
        <v>14000</v>
      </c>
      <c r="H84" s="41">
        <v>325</v>
      </c>
      <c r="I84" s="42">
        <f t="shared" si="51"/>
        <v>18200</v>
      </c>
      <c r="J84" s="41">
        <v>240</v>
      </c>
      <c r="K84" s="42">
        <f t="shared" ref="K84" si="177">$D84*J84</f>
        <v>13440</v>
      </c>
      <c r="L84" s="41">
        <v>295</v>
      </c>
      <c r="M84" s="42">
        <f t="shared" ref="M84" si="178">$D84*L84</f>
        <v>16520</v>
      </c>
      <c r="N84" s="41">
        <v>502</v>
      </c>
      <c r="O84" s="42">
        <f t="shared" ref="O84" si="179">$D84*N84</f>
        <v>28112</v>
      </c>
      <c r="P84" s="41">
        <v>247.6</v>
      </c>
      <c r="Q84" s="42">
        <f t="shared" ref="Q84" si="180">$D84*P84</f>
        <v>13865.6</v>
      </c>
      <c r="R84" s="41">
        <v>0</v>
      </c>
      <c r="S84" s="42">
        <f t="shared" ref="S84" si="181">$D84*R84</f>
        <v>0</v>
      </c>
    </row>
    <row r="85" spans="1:19" x14ac:dyDescent="0.3">
      <c r="A85" s="23" t="s">
        <v>90</v>
      </c>
      <c r="B85" s="23"/>
      <c r="C85" s="23" t="s">
        <v>238</v>
      </c>
      <c r="D85" s="39">
        <v>17</v>
      </c>
      <c r="E85" s="40" t="s">
        <v>280</v>
      </c>
      <c r="F85" s="41">
        <v>20</v>
      </c>
      <c r="G85" s="42">
        <f t="shared" si="51"/>
        <v>340</v>
      </c>
      <c r="H85" s="41">
        <v>25.45</v>
      </c>
      <c r="I85" s="42">
        <f t="shared" si="51"/>
        <v>432.65</v>
      </c>
      <c r="J85" s="41">
        <v>25</v>
      </c>
      <c r="K85" s="42">
        <f t="shared" ref="K85" si="182">$D85*J85</f>
        <v>425</v>
      </c>
      <c r="L85" s="41">
        <v>28.9</v>
      </c>
      <c r="M85" s="42">
        <f t="shared" ref="M85" si="183">$D85*L85</f>
        <v>491.29999999999995</v>
      </c>
      <c r="N85" s="41">
        <v>38.5</v>
      </c>
      <c r="O85" s="42">
        <f t="shared" ref="O85" si="184">$D85*N85</f>
        <v>654.5</v>
      </c>
      <c r="P85" s="41">
        <v>34.200000000000003</v>
      </c>
      <c r="Q85" s="42">
        <f t="shared" ref="Q85" si="185">$D85*P85</f>
        <v>581.40000000000009</v>
      </c>
      <c r="R85" s="41">
        <v>0</v>
      </c>
      <c r="S85" s="42">
        <f t="shared" ref="S85" si="186">$D85*R85</f>
        <v>0</v>
      </c>
    </row>
    <row r="86" spans="1:19" x14ac:dyDescent="0.3">
      <c r="A86" s="23" t="s">
        <v>91</v>
      </c>
      <c r="B86" s="23" t="s">
        <v>220</v>
      </c>
      <c r="C86" s="23" t="s">
        <v>239</v>
      </c>
      <c r="D86" s="39">
        <v>1</v>
      </c>
      <c r="E86" s="40" t="s">
        <v>281</v>
      </c>
      <c r="F86" s="41">
        <v>10</v>
      </c>
      <c r="G86" s="68" t="s">
        <v>288</v>
      </c>
      <c r="H86" s="41">
        <v>18</v>
      </c>
      <c r="I86" s="68" t="s">
        <v>288</v>
      </c>
      <c r="J86" s="41">
        <v>12</v>
      </c>
      <c r="K86" s="68" t="s">
        <v>288</v>
      </c>
      <c r="L86" s="41">
        <v>10</v>
      </c>
      <c r="M86" s="68" t="s">
        <v>288</v>
      </c>
      <c r="N86" s="41">
        <v>12</v>
      </c>
      <c r="O86" s="68" t="s">
        <v>288</v>
      </c>
      <c r="P86" s="41">
        <v>8.4</v>
      </c>
      <c r="Q86" s="68" t="s">
        <v>288</v>
      </c>
      <c r="R86" s="41">
        <v>0</v>
      </c>
      <c r="S86" s="68" t="s">
        <v>288</v>
      </c>
    </row>
    <row r="87" spans="1:19" x14ac:dyDescent="0.3">
      <c r="A87" s="23" t="s">
        <v>92</v>
      </c>
      <c r="B87" s="23" t="s">
        <v>220</v>
      </c>
      <c r="C87" s="23" t="s">
        <v>240</v>
      </c>
      <c r="D87" s="39">
        <v>1</v>
      </c>
      <c r="E87" s="40" t="s">
        <v>281</v>
      </c>
      <c r="F87" s="41">
        <v>15</v>
      </c>
      <c r="G87" s="68" t="s">
        <v>288</v>
      </c>
      <c r="H87" s="41">
        <v>22</v>
      </c>
      <c r="I87" s="68" t="s">
        <v>288</v>
      </c>
      <c r="J87" s="41">
        <v>16</v>
      </c>
      <c r="K87" s="68" t="s">
        <v>288</v>
      </c>
      <c r="L87" s="41">
        <v>25</v>
      </c>
      <c r="M87" s="68" t="s">
        <v>288</v>
      </c>
      <c r="N87" s="41">
        <v>20</v>
      </c>
      <c r="O87" s="68" t="s">
        <v>288</v>
      </c>
      <c r="P87" s="41">
        <v>9.6</v>
      </c>
      <c r="Q87" s="68" t="s">
        <v>288</v>
      </c>
      <c r="R87" s="41">
        <v>0</v>
      </c>
      <c r="S87" s="68" t="s">
        <v>288</v>
      </c>
    </row>
    <row r="88" spans="1:19" x14ac:dyDescent="0.3">
      <c r="A88" s="23" t="s">
        <v>93</v>
      </c>
      <c r="B88" s="23" t="s">
        <v>220</v>
      </c>
      <c r="C88" s="23" t="s">
        <v>241</v>
      </c>
      <c r="D88" s="39">
        <v>1</v>
      </c>
      <c r="E88" s="40" t="s">
        <v>281</v>
      </c>
      <c r="F88" s="41">
        <v>10</v>
      </c>
      <c r="G88" s="68" t="s">
        <v>288</v>
      </c>
      <c r="H88" s="41">
        <v>25</v>
      </c>
      <c r="I88" s="68" t="s">
        <v>288</v>
      </c>
      <c r="J88" s="41">
        <v>18</v>
      </c>
      <c r="K88" s="68" t="s">
        <v>288</v>
      </c>
      <c r="L88" s="41">
        <v>10</v>
      </c>
      <c r="M88" s="68" t="s">
        <v>288</v>
      </c>
      <c r="N88" s="41">
        <v>25</v>
      </c>
      <c r="O88" s="68" t="s">
        <v>288</v>
      </c>
      <c r="P88" s="41">
        <v>4.9000000000000004</v>
      </c>
      <c r="Q88" s="68" t="s">
        <v>288</v>
      </c>
      <c r="R88" s="41">
        <v>0</v>
      </c>
      <c r="S88" s="68" t="s">
        <v>288</v>
      </c>
    </row>
    <row r="89" spans="1:19" x14ac:dyDescent="0.3">
      <c r="A89" s="23" t="s">
        <v>94</v>
      </c>
      <c r="B89" s="23" t="s">
        <v>220</v>
      </c>
      <c r="C89" s="23" t="s">
        <v>242</v>
      </c>
      <c r="D89" s="39">
        <v>1</v>
      </c>
      <c r="E89" s="40" t="s">
        <v>281</v>
      </c>
      <c r="F89" s="41">
        <v>15</v>
      </c>
      <c r="G89" s="68" t="s">
        <v>288</v>
      </c>
      <c r="H89" s="41">
        <v>30</v>
      </c>
      <c r="I89" s="68" t="s">
        <v>288</v>
      </c>
      <c r="J89" s="41">
        <v>24</v>
      </c>
      <c r="K89" s="68" t="s">
        <v>288</v>
      </c>
      <c r="L89" s="41">
        <v>25</v>
      </c>
      <c r="M89" s="68" t="s">
        <v>288</v>
      </c>
      <c r="N89" s="41">
        <v>35</v>
      </c>
      <c r="O89" s="68" t="s">
        <v>288</v>
      </c>
      <c r="P89" s="41">
        <v>7.3</v>
      </c>
      <c r="Q89" s="68" t="s">
        <v>288</v>
      </c>
      <c r="R89" s="41">
        <v>0</v>
      </c>
      <c r="S89" s="68" t="s">
        <v>288</v>
      </c>
    </row>
    <row r="90" spans="1:19" x14ac:dyDescent="0.3">
      <c r="A90" s="23" t="s">
        <v>95</v>
      </c>
      <c r="B90" s="23" t="s">
        <v>220</v>
      </c>
      <c r="C90" s="23" t="s">
        <v>243</v>
      </c>
      <c r="D90" s="39">
        <v>1</v>
      </c>
      <c r="E90" s="40" t="s">
        <v>281</v>
      </c>
      <c r="F90" s="41">
        <v>20</v>
      </c>
      <c r="G90" s="68" t="s">
        <v>288</v>
      </c>
      <c r="H90" s="41">
        <v>10</v>
      </c>
      <c r="I90" s="68" t="s">
        <v>288</v>
      </c>
      <c r="J90" s="41">
        <v>7</v>
      </c>
      <c r="K90" s="68" t="s">
        <v>288</v>
      </c>
      <c r="L90" s="41">
        <v>3.5</v>
      </c>
      <c r="M90" s="68" t="s">
        <v>288</v>
      </c>
      <c r="N90" s="41">
        <v>8</v>
      </c>
      <c r="O90" s="68" t="s">
        <v>288</v>
      </c>
      <c r="P90" s="41">
        <v>3.9</v>
      </c>
      <c r="Q90" s="68" t="s">
        <v>288</v>
      </c>
      <c r="R90" s="41">
        <v>0</v>
      </c>
      <c r="S90" s="68" t="s">
        <v>288</v>
      </c>
    </row>
    <row r="91" spans="1:19" x14ac:dyDescent="0.3">
      <c r="A91" s="23" t="s">
        <v>96</v>
      </c>
      <c r="B91" s="23" t="s">
        <v>220</v>
      </c>
      <c r="C91" s="23" t="s">
        <v>244</v>
      </c>
      <c r="D91" s="39">
        <v>1</v>
      </c>
      <c r="E91" s="40" t="s">
        <v>281</v>
      </c>
      <c r="F91" s="41">
        <v>30</v>
      </c>
      <c r="G91" s="68" t="s">
        <v>288</v>
      </c>
      <c r="H91" s="41">
        <v>18</v>
      </c>
      <c r="I91" s="68" t="s">
        <v>288</v>
      </c>
      <c r="J91" s="41">
        <v>9</v>
      </c>
      <c r="K91" s="68" t="s">
        <v>288</v>
      </c>
      <c r="L91" s="41">
        <v>10</v>
      </c>
      <c r="M91" s="68" t="s">
        <v>288</v>
      </c>
      <c r="N91" s="41">
        <v>18</v>
      </c>
      <c r="O91" s="68" t="s">
        <v>288</v>
      </c>
      <c r="P91" s="41">
        <v>5.6</v>
      </c>
      <c r="Q91" s="68" t="s">
        <v>288</v>
      </c>
      <c r="R91" s="41">
        <v>0</v>
      </c>
      <c r="S91" s="68" t="s">
        <v>288</v>
      </c>
    </row>
    <row r="92" spans="1:19" x14ac:dyDescent="0.3">
      <c r="A92" s="23" t="s">
        <v>97</v>
      </c>
      <c r="B92" s="23" t="s">
        <v>220</v>
      </c>
      <c r="C92" s="23" t="s">
        <v>245</v>
      </c>
      <c r="D92" s="39">
        <v>1</v>
      </c>
      <c r="E92" s="40" t="s">
        <v>281</v>
      </c>
      <c r="F92" s="41">
        <v>20</v>
      </c>
      <c r="G92" s="68" t="s">
        <v>288</v>
      </c>
      <c r="H92" s="41">
        <v>12</v>
      </c>
      <c r="I92" s="68" t="s">
        <v>288</v>
      </c>
      <c r="J92" s="41">
        <v>9</v>
      </c>
      <c r="K92" s="68" t="s">
        <v>288</v>
      </c>
      <c r="L92" s="41">
        <v>3.5</v>
      </c>
      <c r="M92" s="68" t="s">
        <v>288</v>
      </c>
      <c r="N92" s="41">
        <v>15</v>
      </c>
      <c r="O92" s="68" t="s">
        <v>288</v>
      </c>
      <c r="P92" s="41">
        <v>3.9</v>
      </c>
      <c r="Q92" s="68" t="s">
        <v>288</v>
      </c>
      <c r="R92" s="41">
        <v>0</v>
      </c>
      <c r="S92" s="68" t="s">
        <v>288</v>
      </c>
    </row>
    <row r="93" spans="1:19" x14ac:dyDescent="0.3">
      <c r="A93" s="23" t="s">
        <v>98</v>
      </c>
      <c r="B93" s="23" t="s">
        <v>220</v>
      </c>
      <c r="C93" s="23" t="s">
        <v>246</v>
      </c>
      <c r="D93" s="39">
        <v>1</v>
      </c>
      <c r="E93" s="40" t="s">
        <v>281</v>
      </c>
      <c r="F93" s="41">
        <v>30</v>
      </c>
      <c r="G93" s="68" t="s">
        <v>288</v>
      </c>
      <c r="H93" s="41">
        <v>25</v>
      </c>
      <c r="I93" s="68" t="s">
        <v>288</v>
      </c>
      <c r="J93" s="41">
        <v>12</v>
      </c>
      <c r="K93" s="68" t="s">
        <v>288</v>
      </c>
      <c r="L93" s="41">
        <v>10</v>
      </c>
      <c r="M93" s="68" t="s">
        <v>288</v>
      </c>
      <c r="N93" s="41">
        <v>18</v>
      </c>
      <c r="O93" s="68" t="s">
        <v>288</v>
      </c>
      <c r="P93" s="41">
        <v>5.6</v>
      </c>
      <c r="Q93" s="68" t="s">
        <v>288</v>
      </c>
      <c r="R93" s="41">
        <v>0</v>
      </c>
      <c r="S93" s="68" t="s">
        <v>288</v>
      </c>
    </row>
    <row r="94" spans="1:19" x14ac:dyDescent="0.3">
      <c r="A94" s="23" t="s">
        <v>99</v>
      </c>
      <c r="B94" s="23" t="s">
        <v>220</v>
      </c>
      <c r="C94" s="23" t="s">
        <v>247</v>
      </c>
      <c r="D94" s="39">
        <v>10</v>
      </c>
      <c r="E94" s="40" t="s">
        <v>281</v>
      </c>
      <c r="F94" s="41">
        <v>65</v>
      </c>
      <c r="G94" s="68" t="s">
        <v>288</v>
      </c>
      <c r="H94" s="41">
        <v>75</v>
      </c>
      <c r="I94" s="68" t="s">
        <v>288</v>
      </c>
      <c r="J94" s="41">
        <v>60</v>
      </c>
      <c r="K94" s="68" t="s">
        <v>288</v>
      </c>
      <c r="L94" s="41">
        <v>20</v>
      </c>
      <c r="M94" s="68" t="s">
        <v>288</v>
      </c>
      <c r="N94" s="41">
        <v>90</v>
      </c>
      <c r="O94" s="68" t="s">
        <v>288</v>
      </c>
      <c r="P94" s="41">
        <v>73.7</v>
      </c>
      <c r="Q94" s="68" t="s">
        <v>288</v>
      </c>
      <c r="R94" s="41">
        <v>0</v>
      </c>
      <c r="S94" s="68" t="s">
        <v>288</v>
      </c>
    </row>
    <row r="95" spans="1:19" x14ac:dyDescent="0.3">
      <c r="A95" s="57" t="s">
        <v>72</v>
      </c>
      <c r="B95" s="57"/>
      <c r="C95" s="57" t="s">
        <v>222</v>
      </c>
      <c r="D95" s="58"/>
      <c r="E95" s="59"/>
      <c r="F95" s="60"/>
      <c r="G95" s="61">
        <f>SUM(G68:G94)</f>
        <v>100008</v>
      </c>
      <c r="H95" s="60"/>
      <c r="I95" s="61">
        <f>SUM(I68:I94)</f>
        <v>120814.95</v>
      </c>
      <c r="J95" s="60"/>
      <c r="K95" s="61">
        <f>SUM(K68:K94)</f>
        <v>117870.5</v>
      </c>
      <c r="L95" s="60"/>
      <c r="M95" s="61">
        <f>SUM(M68:M94)</f>
        <v>121020.20000000003</v>
      </c>
      <c r="N95" s="60"/>
      <c r="O95" s="61">
        <f>SUM(O68:O94)</f>
        <v>115769.30000000002</v>
      </c>
      <c r="P95" s="60"/>
      <c r="Q95" s="61">
        <f>SUM(Q68:Q94)</f>
        <v>133361.59999999998</v>
      </c>
      <c r="R95" s="60"/>
      <c r="S95" s="61">
        <f>SUM(S68:S94)</f>
        <v>0</v>
      </c>
    </row>
    <row r="96" spans="1:19" x14ac:dyDescent="0.3">
      <c r="A96" s="23"/>
      <c r="B96" s="23"/>
      <c r="C96" s="23"/>
      <c r="D96" s="39"/>
      <c r="E96" s="40"/>
      <c r="F96" s="41"/>
      <c r="G96" s="42"/>
      <c r="H96" s="41"/>
      <c r="I96" s="42"/>
      <c r="J96" s="41"/>
      <c r="K96" s="42"/>
      <c r="L96" s="41"/>
      <c r="M96" s="42"/>
      <c r="N96" s="41"/>
      <c r="O96" s="42"/>
      <c r="P96" s="41"/>
      <c r="Q96" s="42"/>
      <c r="R96" s="41"/>
      <c r="S96" s="42"/>
    </row>
    <row r="97" spans="1:19" x14ac:dyDescent="0.3">
      <c r="A97" s="23" t="s">
        <v>101</v>
      </c>
      <c r="B97" s="23"/>
      <c r="C97" s="23" t="s">
        <v>249</v>
      </c>
      <c r="D97" s="39">
        <v>6</v>
      </c>
      <c r="E97" s="40" t="s">
        <v>279</v>
      </c>
      <c r="F97" s="41">
        <v>62</v>
      </c>
      <c r="G97" s="42">
        <f t="shared" si="51"/>
        <v>372</v>
      </c>
      <c r="H97" s="41">
        <v>65</v>
      </c>
      <c r="I97" s="42">
        <f t="shared" si="51"/>
        <v>390</v>
      </c>
      <c r="J97" s="41">
        <v>75</v>
      </c>
      <c r="K97" s="42">
        <f t="shared" ref="K97" si="187">$D97*J97</f>
        <v>450</v>
      </c>
      <c r="L97" s="41">
        <v>49.9</v>
      </c>
      <c r="M97" s="42">
        <f t="shared" ref="M97" si="188">$D97*L97</f>
        <v>299.39999999999998</v>
      </c>
      <c r="N97" s="41">
        <v>48</v>
      </c>
      <c r="O97" s="42">
        <f t="shared" ref="O97" si="189">$D97*N97</f>
        <v>288</v>
      </c>
      <c r="P97" s="41">
        <v>43.4</v>
      </c>
      <c r="Q97" s="42">
        <f t="shared" ref="Q97" si="190">$D97*P97</f>
        <v>260.39999999999998</v>
      </c>
      <c r="R97" s="41">
        <v>0</v>
      </c>
      <c r="S97" s="42">
        <f t="shared" ref="S97" si="191">$D97*R97</f>
        <v>0</v>
      </c>
    </row>
    <row r="98" spans="1:19" x14ac:dyDescent="0.3">
      <c r="A98" s="23" t="s">
        <v>102</v>
      </c>
      <c r="B98" s="23" t="s">
        <v>220</v>
      </c>
      <c r="C98" s="23" t="s">
        <v>250</v>
      </c>
      <c r="D98" s="39">
        <v>1</v>
      </c>
      <c r="E98" s="40" t="s">
        <v>279</v>
      </c>
      <c r="F98" s="41">
        <v>12</v>
      </c>
      <c r="G98" s="68" t="s">
        <v>288</v>
      </c>
      <c r="H98" s="41">
        <v>7.5</v>
      </c>
      <c r="I98" s="68" t="s">
        <v>288</v>
      </c>
      <c r="J98" s="41">
        <v>16</v>
      </c>
      <c r="K98" s="68" t="s">
        <v>288</v>
      </c>
      <c r="L98" s="41">
        <v>9</v>
      </c>
      <c r="M98" s="68" t="s">
        <v>288</v>
      </c>
      <c r="N98" s="41">
        <v>16</v>
      </c>
      <c r="O98" s="68" t="s">
        <v>288</v>
      </c>
      <c r="P98" s="41">
        <v>16.8</v>
      </c>
      <c r="Q98" s="68" t="s">
        <v>288</v>
      </c>
      <c r="R98" s="41">
        <v>0</v>
      </c>
      <c r="S98" s="68" t="s">
        <v>288</v>
      </c>
    </row>
    <row r="99" spans="1:19" x14ac:dyDescent="0.3">
      <c r="A99" s="23" t="s">
        <v>103</v>
      </c>
      <c r="B99" s="23" t="s">
        <v>220</v>
      </c>
      <c r="C99" s="23" t="s">
        <v>251</v>
      </c>
      <c r="D99" s="39">
        <v>1</v>
      </c>
      <c r="E99" s="40" t="s">
        <v>279</v>
      </c>
      <c r="F99" s="41">
        <v>4</v>
      </c>
      <c r="G99" s="68" t="s">
        <v>288</v>
      </c>
      <c r="H99" s="41">
        <v>2</v>
      </c>
      <c r="I99" s="68" t="s">
        <v>288</v>
      </c>
      <c r="J99" s="41">
        <v>2.5</v>
      </c>
      <c r="K99" s="68" t="s">
        <v>288</v>
      </c>
      <c r="L99" s="41">
        <v>2.2999999999999998</v>
      </c>
      <c r="M99" s="68" t="s">
        <v>288</v>
      </c>
      <c r="N99" s="41">
        <v>4.2</v>
      </c>
      <c r="O99" s="68" t="s">
        <v>288</v>
      </c>
      <c r="P99" s="41">
        <v>3.4</v>
      </c>
      <c r="Q99" s="68" t="s">
        <v>288</v>
      </c>
      <c r="R99" s="41">
        <v>0</v>
      </c>
      <c r="S99" s="68" t="s">
        <v>288</v>
      </c>
    </row>
    <row r="100" spans="1:19" x14ac:dyDescent="0.3">
      <c r="A100" s="23" t="s">
        <v>104</v>
      </c>
      <c r="B100" s="23" t="s">
        <v>220</v>
      </c>
      <c r="C100" s="23" t="s">
        <v>252</v>
      </c>
      <c r="D100" s="39">
        <v>1</v>
      </c>
      <c r="E100" s="40" t="s">
        <v>279</v>
      </c>
      <c r="F100" s="41">
        <v>8</v>
      </c>
      <c r="G100" s="68" t="s">
        <v>288</v>
      </c>
      <c r="H100" s="41">
        <v>4</v>
      </c>
      <c r="I100" s="68" t="s">
        <v>288</v>
      </c>
      <c r="J100" s="41">
        <v>5</v>
      </c>
      <c r="K100" s="68" t="s">
        <v>288</v>
      </c>
      <c r="L100" s="41">
        <v>4.5999999999999996</v>
      </c>
      <c r="M100" s="68" t="s">
        <v>288</v>
      </c>
      <c r="N100" s="41">
        <v>8.4</v>
      </c>
      <c r="O100" s="68" t="s">
        <v>288</v>
      </c>
      <c r="P100" s="41">
        <v>6.7</v>
      </c>
      <c r="Q100" s="68" t="s">
        <v>288</v>
      </c>
      <c r="R100" s="41">
        <v>0</v>
      </c>
      <c r="S100" s="68" t="s">
        <v>288</v>
      </c>
    </row>
    <row r="101" spans="1:19" x14ac:dyDescent="0.3">
      <c r="A101" s="23" t="s">
        <v>105</v>
      </c>
      <c r="B101" s="23" t="s">
        <v>220</v>
      </c>
      <c r="C101" s="23" t="s">
        <v>253</v>
      </c>
      <c r="D101" s="39">
        <v>1</v>
      </c>
      <c r="E101" s="40" t="s">
        <v>279</v>
      </c>
      <c r="F101" s="41">
        <v>6.95</v>
      </c>
      <c r="G101" s="68" t="s">
        <v>288</v>
      </c>
      <c r="H101" s="41">
        <v>5</v>
      </c>
      <c r="I101" s="68" t="s">
        <v>288</v>
      </c>
      <c r="J101" s="41">
        <v>4</v>
      </c>
      <c r="K101" s="68" t="s">
        <v>288</v>
      </c>
      <c r="L101" s="41">
        <v>5</v>
      </c>
      <c r="M101" s="68" t="s">
        <v>288</v>
      </c>
      <c r="N101" s="41">
        <v>8.8000000000000007</v>
      </c>
      <c r="O101" s="68" t="s">
        <v>288</v>
      </c>
      <c r="P101" s="41">
        <v>8</v>
      </c>
      <c r="Q101" s="68" t="s">
        <v>288</v>
      </c>
      <c r="R101" s="41">
        <v>0</v>
      </c>
      <c r="S101" s="68" t="s">
        <v>288</v>
      </c>
    </row>
    <row r="102" spans="1:19" x14ac:dyDescent="0.3">
      <c r="A102" s="23" t="s">
        <v>106</v>
      </c>
      <c r="B102" s="23"/>
      <c r="C102" s="23" t="s">
        <v>254</v>
      </c>
      <c r="D102" s="39">
        <v>20</v>
      </c>
      <c r="E102" s="40" t="s">
        <v>280</v>
      </c>
      <c r="F102" s="41">
        <v>15</v>
      </c>
      <c r="G102" s="42">
        <f t="shared" ref="G102:I152" si="192">$D102*F102</f>
        <v>300</v>
      </c>
      <c r="H102" s="41">
        <v>18</v>
      </c>
      <c r="I102" s="42">
        <f t="shared" si="192"/>
        <v>360</v>
      </c>
      <c r="J102" s="41">
        <v>6</v>
      </c>
      <c r="K102" s="42">
        <f t="shared" ref="K102" si="193">$D102*J102</f>
        <v>120</v>
      </c>
      <c r="L102" s="41">
        <v>10.5</v>
      </c>
      <c r="M102" s="42">
        <f t="shared" ref="M102" si="194">$D102*L102</f>
        <v>210</v>
      </c>
      <c r="N102" s="41">
        <v>6.9</v>
      </c>
      <c r="O102" s="42">
        <f t="shared" ref="O102" si="195">$D102*N102</f>
        <v>138</v>
      </c>
      <c r="P102" s="41">
        <v>12.6</v>
      </c>
      <c r="Q102" s="42">
        <f t="shared" ref="Q102" si="196">$D102*P102</f>
        <v>252</v>
      </c>
      <c r="R102" s="41">
        <v>0</v>
      </c>
      <c r="S102" s="42">
        <f t="shared" ref="S102" si="197">$D102*R102</f>
        <v>0</v>
      </c>
    </row>
    <row r="103" spans="1:19" x14ac:dyDescent="0.3">
      <c r="A103" s="23" t="s">
        <v>107</v>
      </c>
      <c r="B103" s="23"/>
      <c r="C103" s="23" t="s">
        <v>255</v>
      </c>
      <c r="D103" s="39">
        <v>20</v>
      </c>
      <c r="E103" s="40" t="s">
        <v>280</v>
      </c>
      <c r="F103" s="41">
        <v>6.5</v>
      </c>
      <c r="G103" s="42">
        <f t="shared" si="192"/>
        <v>130</v>
      </c>
      <c r="H103" s="41">
        <v>7.5</v>
      </c>
      <c r="I103" s="42">
        <f t="shared" si="192"/>
        <v>150</v>
      </c>
      <c r="J103" s="41">
        <v>7</v>
      </c>
      <c r="K103" s="42">
        <f t="shared" ref="K103" si="198">$D103*J103</f>
        <v>140</v>
      </c>
      <c r="L103" s="41">
        <v>4</v>
      </c>
      <c r="M103" s="42">
        <f t="shared" ref="M103" si="199">$D103*L103</f>
        <v>80</v>
      </c>
      <c r="N103" s="41">
        <v>6.5</v>
      </c>
      <c r="O103" s="42">
        <f t="shared" ref="O103" si="200">$D103*N103</f>
        <v>130</v>
      </c>
      <c r="P103" s="41">
        <v>8.6999999999999993</v>
      </c>
      <c r="Q103" s="42">
        <f t="shared" ref="Q103" si="201">$D103*P103</f>
        <v>174</v>
      </c>
      <c r="R103" s="41">
        <v>0</v>
      </c>
      <c r="S103" s="42">
        <f t="shared" ref="S103" si="202">$D103*R103</f>
        <v>0</v>
      </c>
    </row>
    <row r="104" spans="1:19" x14ac:dyDescent="0.3">
      <c r="A104" s="23" t="s">
        <v>108</v>
      </c>
      <c r="B104" s="23"/>
      <c r="C104" s="23" t="s">
        <v>256</v>
      </c>
      <c r="D104" s="39">
        <v>10</v>
      </c>
      <c r="E104" s="40" t="s">
        <v>281</v>
      </c>
      <c r="F104" s="41">
        <v>10</v>
      </c>
      <c r="G104" s="42">
        <f t="shared" si="192"/>
        <v>100</v>
      </c>
      <c r="H104" s="41">
        <v>19</v>
      </c>
      <c r="I104" s="42">
        <f t="shared" si="192"/>
        <v>190</v>
      </c>
      <c r="J104" s="41">
        <v>16</v>
      </c>
      <c r="K104" s="42">
        <f t="shared" ref="K104" si="203">$D104*J104</f>
        <v>160</v>
      </c>
      <c r="L104" s="41">
        <v>25</v>
      </c>
      <c r="M104" s="42">
        <f t="shared" ref="M104" si="204">$D104*L104</f>
        <v>250</v>
      </c>
      <c r="N104" s="41">
        <v>25</v>
      </c>
      <c r="O104" s="42">
        <f t="shared" ref="O104" si="205">$D104*N104</f>
        <v>250</v>
      </c>
      <c r="P104" s="41">
        <v>14.8</v>
      </c>
      <c r="Q104" s="42">
        <f t="shared" ref="Q104" si="206">$D104*P104</f>
        <v>148</v>
      </c>
      <c r="R104" s="41">
        <v>0</v>
      </c>
      <c r="S104" s="42">
        <f t="shared" ref="S104" si="207">$D104*R104</f>
        <v>0</v>
      </c>
    </row>
    <row r="105" spans="1:19" x14ac:dyDescent="0.3">
      <c r="A105" s="23" t="s">
        <v>109</v>
      </c>
      <c r="B105" s="23"/>
      <c r="C105" s="23" t="s">
        <v>257</v>
      </c>
      <c r="D105" s="39">
        <v>10</v>
      </c>
      <c r="E105" s="40" t="s">
        <v>281</v>
      </c>
      <c r="F105" s="41">
        <v>20</v>
      </c>
      <c r="G105" s="42">
        <f t="shared" si="192"/>
        <v>200</v>
      </c>
      <c r="H105" s="41">
        <v>19</v>
      </c>
      <c r="I105" s="42">
        <f t="shared" si="192"/>
        <v>190</v>
      </c>
      <c r="J105" s="41">
        <v>16</v>
      </c>
      <c r="K105" s="42">
        <f t="shared" ref="K105" si="208">$D105*J105</f>
        <v>160</v>
      </c>
      <c r="L105" s="41">
        <v>25</v>
      </c>
      <c r="M105" s="42">
        <f t="shared" ref="M105" si="209">$D105*L105</f>
        <v>250</v>
      </c>
      <c r="N105" s="41">
        <v>15</v>
      </c>
      <c r="O105" s="42">
        <f t="shared" ref="O105" si="210">$D105*N105</f>
        <v>150</v>
      </c>
      <c r="P105" s="41">
        <v>14.8</v>
      </c>
      <c r="Q105" s="42">
        <f t="shared" ref="Q105" si="211">$D105*P105</f>
        <v>148</v>
      </c>
      <c r="R105" s="41">
        <v>0</v>
      </c>
      <c r="S105" s="42">
        <f t="shared" ref="S105" si="212">$D105*R105</f>
        <v>0</v>
      </c>
    </row>
    <row r="106" spans="1:19" x14ac:dyDescent="0.3">
      <c r="A106" s="23" t="s">
        <v>110</v>
      </c>
      <c r="B106" s="23"/>
      <c r="C106" s="23" t="s">
        <v>258</v>
      </c>
      <c r="D106" s="39">
        <v>5</v>
      </c>
      <c r="E106" s="40" t="s">
        <v>281</v>
      </c>
      <c r="F106" s="41">
        <v>65</v>
      </c>
      <c r="G106" s="42">
        <f t="shared" si="192"/>
        <v>325</v>
      </c>
      <c r="H106" s="41">
        <v>82.75</v>
      </c>
      <c r="I106" s="42">
        <f t="shared" si="192"/>
        <v>413.75</v>
      </c>
      <c r="J106" s="41">
        <v>51</v>
      </c>
      <c r="K106" s="42">
        <f t="shared" ref="K106" si="213">$D106*J106</f>
        <v>255</v>
      </c>
      <c r="L106" s="41">
        <v>88</v>
      </c>
      <c r="M106" s="42">
        <f t="shared" ref="M106" si="214">$D106*L106</f>
        <v>440</v>
      </c>
      <c r="N106" s="41">
        <v>55</v>
      </c>
      <c r="O106" s="42">
        <f t="shared" ref="O106" si="215">$D106*N106</f>
        <v>275</v>
      </c>
      <c r="P106" s="41">
        <v>74.3</v>
      </c>
      <c r="Q106" s="42">
        <f t="shared" ref="Q106" si="216">$D106*P106</f>
        <v>371.5</v>
      </c>
      <c r="R106" s="41">
        <v>0</v>
      </c>
      <c r="S106" s="42">
        <f t="shared" ref="S106" si="217">$D106*R106</f>
        <v>0</v>
      </c>
    </row>
    <row r="107" spans="1:19" x14ac:dyDescent="0.3">
      <c r="A107" s="23" t="s">
        <v>111</v>
      </c>
      <c r="B107" s="23"/>
      <c r="C107" s="23" t="s">
        <v>259</v>
      </c>
      <c r="D107" s="39">
        <v>5</v>
      </c>
      <c r="E107" s="40" t="s">
        <v>281</v>
      </c>
      <c r="F107" s="41">
        <v>80</v>
      </c>
      <c r="G107" s="42">
        <f t="shared" si="192"/>
        <v>400</v>
      </c>
      <c r="H107" s="41">
        <v>97.5</v>
      </c>
      <c r="I107" s="42">
        <f t="shared" si="192"/>
        <v>487.5</v>
      </c>
      <c r="J107" s="41">
        <v>62</v>
      </c>
      <c r="K107" s="42">
        <f t="shared" ref="K107" si="218">$D107*J107</f>
        <v>310</v>
      </c>
      <c r="L107" s="41">
        <v>125</v>
      </c>
      <c r="M107" s="42">
        <f t="shared" ref="M107" si="219">$D107*L107</f>
        <v>625</v>
      </c>
      <c r="N107" s="41">
        <v>65</v>
      </c>
      <c r="O107" s="42">
        <f t="shared" ref="O107" si="220">$D107*N107</f>
        <v>325</v>
      </c>
      <c r="P107" s="41">
        <v>98.8</v>
      </c>
      <c r="Q107" s="42">
        <f t="shared" ref="Q107" si="221">$D107*P107</f>
        <v>494</v>
      </c>
      <c r="R107" s="41">
        <v>0</v>
      </c>
      <c r="S107" s="42">
        <f t="shared" ref="S107" si="222">$D107*R107</f>
        <v>0</v>
      </c>
    </row>
    <row r="108" spans="1:19" x14ac:dyDescent="0.3">
      <c r="A108" s="23" t="s">
        <v>112</v>
      </c>
      <c r="B108" s="23" t="s">
        <v>220</v>
      </c>
      <c r="C108" s="23" t="s">
        <v>260</v>
      </c>
      <c r="D108" s="39">
        <v>1</v>
      </c>
      <c r="E108" s="40" t="s">
        <v>281</v>
      </c>
      <c r="F108" s="41">
        <v>170</v>
      </c>
      <c r="G108" s="68" t="s">
        <v>288</v>
      </c>
      <c r="H108" s="41">
        <v>290</v>
      </c>
      <c r="I108" s="68" t="s">
        <v>288</v>
      </c>
      <c r="J108" s="41">
        <v>215</v>
      </c>
      <c r="K108" s="68" t="s">
        <v>288</v>
      </c>
      <c r="L108" s="41">
        <v>239.95</v>
      </c>
      <c r="M108" s="68" t="s">
        <v>288</v>
      </c>
      <c r="N108" s="41">
        <v>280</v>
      </c>
      <c r="O108" s="68" t="s">
        <v>288</v>
      </c>
      <c r="P108" s="41">
        <v>373</v>
      </c>
      <c r="Q108" s="68" t="s">
        <v>288</v>
      </c>
      <c r="R108" s="41">
        <v>0</v>
      </c>
      <c r="S108" s="68" t="s">
        <v>288</v>
      </c>
    </row>
    <row r="109" spans="1:19" x14ac:dyDescent="0.3">
      <c r="A109" s="23" t="s">
        <v>113</v>
      </c>
      <c r="B109" s="23" t="s">
        <v>220</v>
      </c>
      <c r="C109" s="23" t="s">
        <v>261</v>
      </c>
      <c r="D109" s="39">
        <v>1</v>
      </c>
      <c r="E109" s="40" t="s">
        <v>281</v>
      </c>
      <c r="F109" s="41">
        <v>200</v>
      </c>
      <c r="G109" s="68" t="s">
        <v>288</v>
      </c>
      <c r="H109" s="41">
        <v>348</v>
      </c>
      <c r="I109" s="68" t="s">
        <v>288</v>
      </c>
      <c r="J109" s="41">
        <v>265</v>
      </c>
      <c r="K109" s="68" t="s">
        <v>288</v>
      </c>
      <c r="L109" s="41">
        <v>281.95</v>
      </c>
      <c r="M109" s="68" t="s">
        <v>288</v>
      </c>
      <c r="N109" s="41">
        <v>350</v>
      </c>
      <c r="O109" s="68" t="s">
        <v>288</v>
      </c>
      <c r="P109" s="41">
        <v>420.8</v>
      </c>
      <c r="Q109" s="68" t="s">
        <v>288</v>
      </c>
      <c r="R109" s="41">
        <v>0</v>
      </c>
      <c r="S109" s="68" t="s">
        <v>288</v>
      </c>
    </row>
    <row r="110" spans="1:19" x14ac:dyDescent="0.3">
      <c r="A110" s="57" t="s">
        <v>100</v>
      </c>
      <c r="B110" s="57"/>
      <c r="C110" s="57" t="s">
        <v>248</v>
      </c>
      <c r="D110" s="58"/>
      <c r="E110" s="59"/>
      <c r="F110" s="60"/>
      <c r="G110" s="61">
        <f>SUM(G97:G109)</f>
        <v>1827</v>
      </c>
      <c r="H110" s="60"/>
      <c r="I110" s="61">
        <f>SUM(I97:I109)</f>
        <v>2181.25</v>
      </c>
      <c r="J110" s="60"/>
      <c r="K110" s="61">
        <f>SUM(K97:K109)</f>
        <v>1595</v>
      </c>
      <c r="L110" s="60"/>
      <c r="M110" s="61">
        <f>SUM(M97:M109)</f>
        <v>2154.4</v>
      </c>
      <c r="N110" s="60"/>
      <c r="O110" s="61">
        <f>SUM(O97:O109)</f>
        <v>1556</v>
      </c>
      <c r="P110" s="60"/>
      <c r="Q110" s="61">
        <f>SUM(Q97:Q109)</f>
        <v>1847.9</v>
      </c>
      <c r="R110" s="60"/>
      <c r="S110" s="61">
        <f>SUM(S97:S109)</f>
        <v>0</v>
      </c>
    </row>
    <row r="111" spans="1:19" x14ac:dyDescent="0.3">
      <c r="A111" s="23"/>
      <c r="B111" s="23"/>
      <c r="C111" s="23"/>
      <c r="D111" s="39"/>
      <c r="E111" s="40"/>
      <c r="F111" s="41"/>
      <c r="G111" s="42"/>
      <c r="H111" s="41"/>
      <c r="I111" s="42"/>
      <c r="J111" s="41"/>
      <c r="K111" s="42"/>
      <c r="L111" s="41"/>
      <c r="M111" s="42"/>
      <c r="N111" s="41"/>
      <c r="O111" s="42"/>
      <c r="P111" s="41"/>
      <c r="Q111" s="42"/>
      <c r="R111" s="41"/>
      <c r="S111" s="42"/>
    </row>
    <row r="112" spans="1:19" x14ac:dyDescent="0.3">
      <c r="A112" s="23" t="s">
        <v>115</v>
      </c>
      <c r="B112" s="23"/>
      <c r="C112" s="23" t="s">
        <v>263</v>
      </c>
      <c r="D112" s="39">
        <v>58</v>
      </c>
      <c r="E112" s="40" t="s">
        <v>279</v>
      </c>
      <c r="F112" s="41">
        <v>75</v>
      </c>
      <c r="G112" s="42">
        <f t="shared" si="192"/>
        <v>4350</v>
      </c>
      <c r="H112" s="41">
        <v>78.900000000000006</v>
      </c>
      <c r="I112" s="42">
        <f t="shared" si="192"/>
        <v>4576.2000000000007</v>
      </c>
      <c r="J112" s="41">
        <v>100</v>
      </c>
      <c r="K112" s="42">
        <f t="shared" ref="K112" si="223">$D112*J112</f>
        <v>5800</v>
      </c>
      <c r="L112" s="41">
        <v>102.25</v>
      </c>
      <c r="M112" s="42">
        <f t="shared" ref="M112" si="224">$D112*L112</f>
        <v>5930.5</v>
      </c>
      <c r="N112" s="41">
        <v>131.5</v>
      </c>
      <c r="O112" s="42">
        <f t="shared" ref="O112" si="225">$D112*N112</f>
        <v>7627</v>
      </c>
      <c r="P112" s="41">
        <v>87.5</v>
      </c>
      <c r="Q112" s="42">
        <f t="shared" ref="Q112" si="226">$D112*P112</f>
        <v>5075</v>
      </c>
      <c r="R112" s="41">
        <v>0</v>
      </c>
      <c r="S112" s="42">
        <f t="shared" ref="S112" si="227">$D112*R112</f>
        <v>0</v>
      </c>
    </row>
    <row r="113" spans="1:19" x14ac:dyDescent="0.3">
      <c r="A113" s="23" t="s">
        <v>116</v>
      </c>
      <c r="B113" s="23"/>
      <c r="C113" s="23" t="s">
        <v>264</v>
      </c>
      <c r="D113" s="39">
        <v>10</v>
      </c>
      <c r="E113" s="40" t="s">
        <v>280</v>
      </c>
      <c r="F113" s="41">
        <v>22</v>
      </c>
      <c r="G113" s="42">
        <f t="shared" si="192"/>
        <v>220</v>
      </c>
      <c r="H113" s="41">
        <v>14</v>
      </c>
      <c r="I113" s="42">
        <f t="shared" si="192"/>
        <v>140</v>
      </c>
      <c r="J113" s="41">
        <v>9</v>
      </c>
      <c r="K113" s="42">
        <f t="shared" ref="K113" si="228">$D113*J113</f>
        <v>90</v>
      </c>
      <c r="L113" s="41">
        <v>10.9</v>
      </c>
      <c r="M113" s="42">
        <f t="shared" ref="M113" si="229">$D113*L113</f>
        <v>109</v>
      </c>
      <c r="N113" s="41">
        <v>26.2</v>
      </c>
      <c r="O113" s="42">
        <f t="shared" ref="O113" si="230">$D113*N113</f>
        <v>262</v>
      </c>
      <c r="P113" s="41">
        <v>20.6</v>
      </c>
      <c r="Q113" s="42">
        <f t="shared" ref="Q113" si="231">$D113*P113</f>
        <v>206</v>
      </c>
      <c r="R113" s="41">
        <v>0</v>
      </c>
      <c r="S113" s="42">
        <f t="shared" ref="S113" si="232">$D113*R113</f>
        <v>0</v>
      </c>
    </row>
    <row r="114" spans="1:19" x14ac:dyDescent="0.3">
      <c r="A114" s="23" t="s">
        <v>117</v>
      </c>
      <c r="B114" s="23"/>
      <c r="C114" s="23" t="s">
        <v>265</v>
      </c>
      <c r="D114" s="39">
        <v>32</v>
      </c>
      <c r="E114" s="40" t="s">
        <v>280</v>
      </c>
      <c r="F114" s="41">
        <v>28</v>
      </c>
      <c r="G114" s="42">
        <f t="shared" si="192"/>
        <v>896</v>
      </c>
      <c r="H114" s="41">
        <v>33.75</v>
      </c>
      <c r="I114" s="42">
        <f t="shared" si="192"/>
        <v>1080</v>
      </c>
      <c r="J114" s="41">
        <v>40</v>
      </c>
      <c r="K114" s="42">
        <f t="shared" ref="K114" si="233">$D114*J114</f>
        <v>1280</v>
      </c>
      <c r="L114" s="41">
        <v>36</v>
      </c>
      <c r="M114" s="42">
        <f t="shared" ref="M114" si="234">$D114*L114</f>
        <v>1152</v>
      </c>
      <c r="N114" s="41">
        <v>35</v>
      </c>
      <c r="O114" s="42">
        <f t="shared" ref="O114" si="235">$D114*N114</f>
        <v>1120</v>
      </c>
      <c r="P114" s="41">
        <v>20.6</v>
      </c>
      <c r="Q114" s="42">
        <f t="shared" ref="Q114" si="236">$D114*P114</f>
        <v>659.2</v>
      </c>
      <c r="R114" s="41">
        <v>0</v>
      </c>
      <c r="S114" s="42">
        <f t="shared" ref="S114" si="237">$D114*R114</f>
        <v>0</v>
      </c>
    </row>
    <row r="115" spans="1:19" x14ac:dyDescent="0.3">
      <c r="A115" s="23" t="s">
        <v>118</v>
      </c>
      <c r="B115" s="23"/>
      <c r="C115" s="23" t="s">
        <v>266</v>
      </c>
      <c r="D115" s="39">
        <v>5</v>
      </c>
      <c r="E115" s="40" t="s">
        <v>281</v>
      </c>
      <c r="F115" s="41">
        <v>15</v>
      </c>
      <c r="G115" s="42">
        <f t="shared" si="192"/>
        <v>75</v>
      </c>
      <c r="H115" s="41">
        <v>29</v>
      </c>
      <c r="I115" s="42">
        <f t="shared" si="192"/>
        <v>145</v>
      </c>
      <c r="J115" s="41">
        <v>16</v>
      </c>
      <c r="K115" s="42">
        <f t="shared" ref="K115" si="238">$D115*J115</f>
        <v>80</v>
      </c>
      <c r="L115" s="41">
        <v>25</v>
      </c>
      <c r="M115" s="42">
        <f t="shared" ref="M115" si="239">$D115*L115</f>
        <v>125</v>
      </c>
      <c r="N115" s="41">
        <v>26</v>
      </c>
      <c r="O115" s="42">
        <f t="shared" ref="O115" si="240">$D115*N115</f>
        <v>130</v>
      </c>
      <c r="P115" s="41">
        <v>86.5</v>
      </c>
      <c r="Q115" s="42">
        <f t="shared" ref="Q115" si="241">$D115*P115</f>
        <v>432.5</v>
      </c>
      <c r="R115" s="41">
        <v>0</v>
      </c>
      <c r="S115" s="42">
        <f t="shared" ref="S115" si="242">$D115*R115</f>
        <v>0</v>
      </c>
    </row>
    <row r="116" spans="1:19" x14ac:dyDescent="0.3">
      <c r="A116" s="23" t="s">
        <v>119</v>
      </c>
      <c r="B116" s="23"/>
      <c r="C116" s="23" t="s">
        <v>267</v>
      </c>
      <c r="D116" s="39">
        <v>5</v>
      </c>
      <c r="E116" s="40" t="s">
        <v>281</v>
      </c>
      <c r="F116" s="41">
        <v>30</v>
      </c>
      <c r="G116" s="42">
        <f t="shared" si="192"/>
        <v>150</v>
      </c>
      <c r="H116" s="41">
        <v>29</v>
      </c>
      <c r="I116" s="42">
        <f t="shared" si="192"/>
        <v>145</v>
      </c>
      <c r="J116" s="41">
        <v>16</v>
      </c>
      <c r="K116" s="42">
        <f t="shared" ref="K116" si="243">$D116*J116</f>
        <v>80</v>
      </c>
      <c r="L116" s="41">
        <v>25</v>
      </c>
      <c r="M116" s="42">
        <f t="shared" ref="M116" si="244">$D116*L116</f>
        <v>125</v>
      </c>
      <c r="N116" s="41">
        <v>35</v>
      </c>
      <c r="O116" s="42">
        <f t="shared" ref="O116" si="245">$D116*N116</f>
        <v>175</v>
      </c>
      <c r="P116" s="41">
        <v>72.099999999999994</v>
      </c>
      <c r="Q116" s="42">
        <f t="shared" ref="Q116" si="246">$D116*P116</f>
        <v>360.5</v>
      </c>
      <c r="R116" s="41">
        <v>0</v>
      </c>
      <c r="S116" s="42">
        <f t="shared" ref="S116" si="247">$D116*R116</f>
        <v>0</v>
      </c>
    </row>
    <row r="117" spans="1:19" x14ac:dyDescent="0.3">
      <c r="A117" s="57" t="s">
        <v>114</v>
      </c>
      <c r="B117" s="57"/>
      <c r="C117" s="57" t="s">
        <v>262</v>
      </c>
      <c r="D117" s="58"/>
      <c r="E117" s="59"/>
      <c r="F117" s="60"/>
      <c r="G117" s="61">
        <f>SUM(G112:G116)</f>
        <v>5691</v>
      </c>
      <c r="H117" s="60"/>
      <c r="I117" s="61">
        <f>SUM(I112:I116)</f>
        <v>6086.2000000000007</v>
      </c>
      <c r="J117" s="60"/>
      <c r="K117" s="61">
        <f>SUM(K112:K116)</f>
        <v>7330</v>
      </c>
      <c r="L117" s="60"/>
      <c r="M117" s="61">
        <f>SUM(M112:M116)</f>
        <v>7441.5</v>
      </c>
      <c r="N117" s="60"/>
      <c r="O117" s="61">
        <f>SUM(O112:O116)</f>
        <v>9314</v>
      </c>
      <c r="P117" s="60"/>
      <c r="Q117" s="61">
        <f>SUM(Q112:Q116)</f>
        <v>6733.2</v>
      </c>
      <c r="R117" s="60"/>
      <c r="S117" s="61">
        <f>SUM(S112:S116)</f>
        <v>0</v>
      </c>
    </row>
    <row r="118" spans="1:19" x14ac:dyDescent="0.3">
      <c r="A118" s="23"/>
      <c r="B118" s="23"/>
      <c r="C118" s="23"/>
      <c r="D118" s="39"/>
      <c r="E118" s="40"/>
      <c r="F118" s="41"/>
      <c r="G118" s="42"/>
      <c r="H118" s="41"/>
      <c r="I118" s="42"/>
      <c r="J118" s="41"/>
      <c r="K118" s="42"/>
      <c r="L118" s="41"/>
      <c r="M118" s="42"/>
      <c r="N118" s="41"/>
      <c r="O118" s="42"/>
      <c r="P118" s="41"/>
      <c r="Q118" s="42"/>
      <c r="R118" s="41"/>
      <c r="S118" s="42"/>
    </row>
    <row r="119" spans="1:19" x14ac:dyDescent="0.3">
      <c r="A119" s="23" t="s">
        <v>121</v>
      </c>
      <c r="B119" s="23"/>
      <c r="C119" s="23" t="s">
        <v>269</v>
      </c>
      <c r="D119" s="39">
        <v>5</v>
      </c>
      <c r="E119" s="40" t="s">
        <v>280</v>
      </c>
      <c r="F119" s="41">
        <v>38</v>
      </c>
      <c r="G119" s="42">
        <f t="shared" si="192"/>
        <v>190</v>
      </c>
      <c r="H119" s="41">
        <v>80</v>
      </c>
      <c r="I119" s="42">
        <f t="shared" si="192"/>
        <v>400</v>
      </c>
      <c r="J119" s="41">
        <v>100</v>
      </c>
      <c r="K119" s="42">
        <f t="shared" ref="K119" si="248">$D119*J119</f>
        <v>500</v>
      </c>
      <c r="L119" s="41">
        <v>39.5</v>
      </c>
      <c r="M119" s="42">
        <f t="shared" ref="M119" si="249">$D119*L119</f>
        <v>197.5</v>
      </c>
      <c r="N119" s="41">
        <v>65.2</v>
      </c>
      <c r="O119" s="42">
        <f t="shared" ref="O119" si="250">$D119*N119</f>
        <v>326</v>
      </c>
      <c r="P119" s="41">
        <v>66.599999999999994</v>
      </c>
      <c r="Q119" s="42">
        <f t="shared" ref="Q119" si="251">$D119*P119</f>
        <v>333</v>
      </c>
      <c r="R119" s="41">
        <v>0</v>
      </c>
      <c r="S119" s="42">
        <f t="shared" ref="S119" si="252">$D119*R119</f>
        <v>0</v>
      </c>
    </row>
    <row r="120" spans="1:19" x14ac:dyDescent="0.3">
      <c r="A120" s="23" t="s">
        <v>122</v>
      </c>
      <c r="B120" s="23" t="s">
        <v>220</v>
      </c>
      <c r="C120" s="23" t="s">
        <v>270</v>
      </c>
      <c r="D120" s="39">
        <v>1</v>
      </c>
      <c r="E120" s="40" t="s">
        <v>280</v>
      </c>
      <c r="F120" s="41">
        <v>48</v>
      </c>
      <c r="G120" s="68" t="s">
        <v>288</v>
      </c>
      <c r="H120" s="41">
        <v>85</v>
      </c>
      <c r="I120" s="68" t="s">
        <v>288</v>
      </c>
      <c r="J120" s="41">
        <v>110</v>
      </c>
      <c r="K120" s="68" t="s">
        <v>288</v>
      </c>
      <c r="L120" s="41">
        <v>48.5</v>
      </c>
      <c r="M120" s="68" t="s">
        <v>288</v>
      </c>
      <c r="N120" s="41">
        <v>95</v>
      </c>
      <c r="O120" s="68" t="s">
        <v>288</v>
      </c>
      <c r="P120" s="41">
        <v>73.900000000000006</v>
      </c>
      <c r="Q120" s="68" t="s">
        <v>288</v>
      </c>
      <c r="R120" s="41">
        <v>0</v>
      </c>
      <c r="S120" s="68" t="s">
        <v>288</v>
      </c>
    </row>
    <row r="121" spans="1:19" x14ac:dyDescent="0.3">
      <c r="A121" s="23" t="s">
        <v>123</v>
      </c>
      <c r="B121" s="23"/>
      <c r="C121" s="23" t="s">
        <v>271</v>
      </c>
      <c r="D121" s="39">
        <v>5.6</v>
      </c>
      <c r="E121" s="40" t="s">
        <v>280</v>
      </c>
      <c r="F121" s="41">
        <v>65</v>
      </c>
      <c r="G121" s="42">
        <f t="shared" si="192"/>
        <v>364</v>
      </c>
      <c r="H121" s="41">
        <v>80</v>
      </c>
      <c r="I121" s="42">
        <f t="shared" si="192"/>
        <v>448</v>
      </c>
      <c r="J121" s="41">
        <v>150</v>
      </c>
      <c r="K121" s="42">
        <f t="shared" ref="K121" si="253">$D121*J121</f>
        <v>840</v>
      </c>
      <c r="L121" s="41">
        <v>90</v>
      </c>
      <c r="M121" s="42">
        <f t="shared" ref="M121" si="254">$D121*L121</f>
        <v>503.99999999999994</v>
      </c>
      <c r="N121" s="41">
        <v>84.4</v>
      </c>
      <c r="O121" s="42">
        <f t="shared" ref="O121" si="255">$D121*N121</f>
        <v>472.64</v>
      </c>
      <c r="P121" s="41">
        <v>184.7</v>
      </c>
      <c r="Q121" s="42">
        <f t="shared" ref="Q121" si="256">$D121*P121</f>
        <v>1034.32</v>
      </c>
      <c r="R121" s="41">
        <v>0</v>
      </c>
      <c r="S121" s="42">
        <f t="shared" ref="S121" si="257">$D121*R121</f>
        <v>0</v>
      </c>
    </row>
    <row r="122" spans="1:19" x14ac:dyDescent="0.3">
      <c r="A122" s="23" t="s">
        <v>124</v>
      </c>
      <c r="B122" s="23"/>
      <c r="C122" s="23" t="s">
        <v>272</v>
      </c>
      <c r="D122" s="39">
        <v>7.7</v>
      </c>
      <c r="E122" s="40" t="s">
        <v>280</v>
      </c>
      <c r="F122" s="41">
        <v>6.5</v>
      </c>
      <c r="G122" s="42">
        <f t="shared" si="192"/>
        <v>50.050000000000004</v>
      </c>
      <c r="H122" s="41">
        <v>7.5</v>
      </c>
      <c r="I122" s="42">
        <f t="shared" si="192"/>
        <v>57.75</v>
      </c>
      <c r="J122" s="41">
        <v>7</v>
      </c>
      <c r="K122" s="42">
        <f t="shared" ref="K122" si="258">$D122*J122</f>
        <v>53.9</v>
      </c>
      <c r="L122" s="41">
        <v>4</v>
      </c>
      <c r="M122" s="42">
        <f t="shared" ref="M122" si="259">$D122*L122</f>
        <v>30.8</v>
      </c>
      <c r="N122" s="41">
        <v>6.9</v>
      </c>
      <c r="O122" s="42">
        <f t="shared" ref="O122" si="260">$D122*N122</f>
        <v>53.13</v>
      </c>
      <c r="P122" s="41">
        <v>11.5</v>
      </c>
      <c r="Q122" s="42">
        <f t="shared" ref="Q122" si="261">$D122*P122</f>
        <v>88.55</v>
      </c>
      <c r="R122" s="41">
        <v>0</v>
      </c>
      <c r="S122" s="42">
        <f t="shared" ref="S122" si="262">$D122*R122</f>
        <v>0</v>
      </c>
    </row>
    <row r="123" spans="1:19" x14ac:dyDescent="0.3">
      <c r="A123" s="57" t="s">
        <v>120</v>
      </c>
      <c r="B123" s="57"/>
      <c r="C123" s="57" t="s">
        <v>268</v>
      </c>
      <c r="D123" s="58"/>
      <c r="E123" s="59"/>
      <c r="F123" s="60"/>
      <c r="G123" s="61">
        <f>SUM(G119:G122)</f>
        <v>604.04999999999995</v>
      </c>
      <c r="H123" s="60"/>
      <c r="I123" s="61">
        <f>SUM(I119:I122)</f>
        <v>905.75</v>
      </c>
      <c r="J123" s="60"/>
      <c r="K123" s="61">
        <f>SUM(K119:K122)</f>
        <v>1393.9</v>
      </c>
      <c r="L123" s="60"/>
      <c r="M123" s="61">
        <f>SUM(M119:M122)</f>
        <v>732.3</v>
      </c>
      <c r="N123" s="60"/>
      <c r="O123" s="61">
        <f>SUM(O119:O122)</f>
        <v>851.77</v>
      </c>
      <c r="P123" s="60"/>
      <c r="Q123" s="61">
        <f>SUM(Q119:Q122)</f>
        <v>1455.87</v>
      </c>
      <c r="R123" s="60"/>
      <c r="S123" s="61">
        <f>SUM(S119:S122)</f>
        <v>0</v>
      </c>
    </row>
    <row r="124" spans="1:19" x14ac:dyDescent="0.3">
      <c r="A124" s="23"/>
      <c r="B124" s="23"/>
      <c r="C124" s="23"/>
      <c r="D124" s="39"/>
      <c r="E124" s="40"/>
      <c r="F124" s="41"/>
      <c r="G124" s="42"/>
      <c r="H124" s="41"/>
      <c r="I124" s="42"/>
      <c r="J124" s="41"/>
      <c r="K124" s="42"/>
      <c r="L124" s="41"/>
      <c r="M124" s="42"/>
      <c r="N124" s="41"/>
      <c r="O124" s="42"/>
      <c r="P124" s="41"/>
      <c r="Q124" s="42"/>
      <c r="R124" s="41"/>
      <c r="S124" s="42"/>
    </row>
    <row r="125" spans="1:19" x14ac:dyDescent="0.3">
      <c r="A125" s="62" t="s">
        <v>125</v>
      </c>
      <c r="B125" s="62"/>
      <c r="C125" s="62" t="s">
        <v>276</v>
      </c>
      <c r="D125" s="63"/>
      <c r="E125" s="64"/>
      <c r="F125" s="65"/>
      <c r="G125" s="66"/>
      <c r="H125" s="65"/>
      <c r="I125" s="66"/>
      <c r="J125" s="65"/>
      <c r="K125" s="66"/>
      <c r="L125" s="65"/>
      <c r="M125" s="66"/>
      <c r="N125" s="65"/>
      <c r="O125" s="66"/>
      <c r="P125" s="65"/>
      <c r="Q125" s="66"/>
      <c r="R125" s="65"/>
      <c r="S125" s="66"/>
    </row>
    <row r="126" spans="1:19" x14ac:dyDescent="0.3">
      <c r="A126" s="23" t="s">
        <v>127</v>
      </c>
      <c r="B126" s="23"/>
      <c r="C126" s="23" t="s">
        <v>223</v>
      </c>
      <c r="D126" s="39">
        <v>215</v>
      </c>
      <c r="E126" s="40" t="s">
        <v>279</v>
      </c>
      <c r="F126" s="41">
        <v>54</v>
      </c>
      <c r="G126" s="42">
        <f t="shared" si="192"/>
        <v>11610</v>
      </c>
      <c r="H126" s="41">
        <v>61.5</v>
      </c>
      <c r="I126" s="42">
        <f t="shared" si="192"/>
        <v>13222.5</v>
      </c>
      <c r="J126" s="41">
        <v>60.5</v>
      </c>
      <c r="K126" s="42">
        <f t="shared" ref="K126" si="263">$D126*J126</f>
        <v>13007.5</v>
      </c>
      <c r="L126" s="41">
        <v>59.95</v>
      </c>
      <c r="M126" s="42">
        <f t="shared" ref="M126" si="264">$D126*L126</f>
        <v>12889.25</v>
      </c>
      <c r="N126" s="41">
        <v>54.1</v>
      </c>
      <c r="O126" s="42">
        <f t="shared" ref="O126" si="265">$D126*N126</f>
        <v>11631.5</v>
      </c>
      <c r="P126" s="41">
        <v>59.9</v>
      </c>
      <c r="Q126" s="42">
        <f t="shared" ref="Q126" si="266">$D126*P126</f>
        <v>12878.5</v>
      </c>
      <c r="R126" s="41">
        <v>0</v>
      </c>
      <c r="S126" s="42">
        <f t="shared" ref="S126" si="267">$D126*R126</f>
        <v>0</v>
      </c>
    </row>
    <row r="127" spans="1:19" x14ac:dyDescent="0.3">
      <c r="A127" s="23" t="s">
        <v>128</v>
      </c>
      <c r="B127" s="23" t="s">
        <v>220</v>
      </c>
      <c r="C127" s="23" t="s">
        <v>225</v>
      </c>
      <c r="D127" s="39">
        <v>10</v>
      </c>
      <c r="E127" s="40" t="s">
        <v>279</v>
      </c>
      <c r="F127" s="41">
        <v>65</v>
      </c>
      <c r="G127" s="68" t="s">
        <v>288</v>
      </c>
      <c r="H127" s="41">
        <v>79.5</v>
      </c>
      <c r="I127" s="68" t="s">
        <v>288</v>
      </c>
      <c r="J127" s="41">
        <v>78</v>
      </c>
      <c r="K127" s="68" t="s">
        <v>288</v>
      </c>
      <c r="L127" s="41">
        <v>85.5</v>
      </c>
      <c r="M127" s="68" t="s">
        <v>288</v>
      </c>
      <c r="N127" s="41">
        <v>77.5</v>
      </c>
      <c r="O127" s="68" t="s">
        <v>288</v>
      </c>
      <c r="P127" s="41">
        <v>77.8</v>
      </c>
      <c r="Q127" s="68" t="s">
        <v>288</v>
      </c>
      <c r="R127" s="41">
        <v>0</v>
      </c>
      <c r="S127" s="68" t="s">
        <v>288</v>
      </c>
    </row>
    <row r="128" spans="1:19" x14ac:dyDescent="0.3">
      <c r="A128" s="23" t="s">
        <v>129</v>
      </c>
      <c r="B128" s="23" t="s">
        <v>220</v>
      </c>
      <c r="C128" s="23" t="s">
        <v>226</v>
      </c>
      <c r="D128" s="39">
        <v>10</v>
      </c>
      <c r="E128" s="40" t="s">
        <v>279</v>
      </c>
      <c r="F128" s="41">
        <v>65</v>
      </c>
      <c r="G128" s="68" t="s">
        <v>288</v>
      </c>
      <c r="H128" s="41">
        <v>115</v>
      </c>
      <c r="I128" s="68" t="s">
        <v>288</v>
      </c>
      <c r="J128" s="41">
        <v>128</v>
      </c>
      <c r="K128" s="68" t="s">
        <v>288</v>
      </c>
      <c r="L128" s="41">
        <v>95</v>
      </c>
      <c r="M128" s="68" t="s">
        <v>288</v>
      </c>
      <c r="N128" s="41">
        <v>79.900000000000006</v>
      </c>
      <c r="O128" s="68" t="s">
        <v>288</v>
      </c>
      <c r="P128" s="41">
        <v>97.2</v>
      </c>
      <c r="Q128" s="68" t="s">
        <v>288</v>
      </c>
      <c r="R128" s="41">
        <v>0</v>
      </c>
      <c r="S128" s="68" t="s">
        <v>288</v>
      </c>
    </row>
    <row r="129" spans="1:19" x14ac:dyDescent="0.3">
      <c r="A129" s="23" t="s">
        <v>130</v>
      </c>
      <c r="B129" s="23" t="s">
        <v>220</v>
      </c>
      <c r="C129" s="23" t="s">
        <v>227</v>
      </c>
      <c r="D129" s="39">
        <v>10</v>
      </c>
      <c r="E129" s="40" t="s">
        <v>279</v>
      </c>
      <c r="F129" s="41">
        <v>6.95</v>
      </c>
      <c r="G129" s="68" t="s">
        <v>288</v>
      </c>
      <c r="H129" s="41">
        <v>20</v>
      </c>
      <c r="I129" s="68" t="s">
        <v>288</v>
      </c>
      <c r="J129" s="41">
        <v>13</v>
      </c>
      <c r="K129" s="68" t="s">
        <v>288</v>
      </c>
      <c r="L129" s="41">
        <v>5</v>
      </c>
      <c r="M129" s="68" t="s">
        <v>288</v>
      </c>
      <c r="N129" s="41">
        <v>18</v>
      </c>
      <c r="O129" s="68" t="s">
        <v>288</v>
      </c>
      <c r="P129" s="41">
        <v>112.9</v>
      </c>
      <c r="Q129" s="68" t="s">
        <v>288</v>
      </c>
      <c r="R129" s="41">
        <v>0</v>
      </c>
      <c r="S129" s="68" t="s">
        <v>288</v>
      </c>
    </row>
    <row r="130" spans="1:19" x14ac:dyDescent="0.3">
      <c r="A130" s="23" t="s">
        <v>131</v>
      </c>
      <c r="B130" s="23" t="s">
        <v>220</v>
      </c>
      <c r="C130" s="23" t="s">
        <v>228</v>
      </c>
      <c r="D130" s="39">
        <v>1</v>
      </c>
      <c r="E130" s="40" t="s">
        <v>280</v>
      </c>
      <c r="F130" s="41">
        <v>2</v>
      </c>
      <c r="G130" s="68" t="s">
        <v>288</v>
      </c>
      <c r="H130" s="41">
        <v>20</v>
      </c>
      <c r="I130" s="68" t="s">
        <v>288</v>
      </c>
      <c r="J130" s="41">
        <v>50</v>
      </c>
      <c r="K130" s="68" t="s">
        <v>288</v>
      </c>
      <c r="L130" s="41">
        <v>12.5</v>
      </c>
      <c r="M130" s="68" t="s">
        <v>288</v>
      </c>
      <c r="N130" s="41">
        <v>46.2</v>
      </c>
      <c r="O130" s="68" t="s">
        <v>288</v>
      </c>
      <c r="P130" s="41">
        <v>102.7</v>
      </c>
      <c r="Q130" s="68" t="s">
        <v>288</v>
      </c>
      <c r="R130" s="41">
        <v>0</v>
      </c>
      <c r="S130" s="68" t="s">
        <v>288</v>
      </c>
    </row>
    <row r="131" spans="1:19" x14ac:dyDescent="0.3">
      <c r="A131" s="23" t="s">
        <v>132</v>
      </c>
      <c r="B131" s="23" t="s">
        <v>220</v>
      </c>
      <c r="C131" s="23" t="s">
        <v>229</v>
      </c>
      <c r="D131" s="39">
        <v>10</v>
      </c>
      <c r="E131" s="40" t="s">
        <v>280</v>
      </c>
      <c r="F131" s="41">
        <v>7.5</v>
      </c>
      <c r="G131" s="68" t="s">
        <v>288</v>
      </c>
      <c r="H131" s="41">
        <v>21</v>
      </c>
      <c r="I131" s="68" t="s">
        <v>288</v>
      </c>
      <c r="J131" s="41">
        <v>21</v>
      </c>
      <c r="K131" s="68" t="s">
        <v>288</v>
      </c>
      <c r="L131" s="41">
        <v>28.2</v>
      </c>
      <c r="M131" s="68" t="s">
        <v>288</v>
      </c>
      <c r="N131" s="41">
        <v>11.5</v>
      </c>
      <c r="O131" s="68" t="s">
        <v>288</v>
      </c>
      <c r="P131" s="41">
        <v>29.3</v>
      </c>
      <c r="Q131" s="68" t="s">
        <v>288</v>
      </c>
      <c r="R131" s="41">
        <v>0</v>
      </c>
      <c r="S131" s="68" t="s">
        <v>288</v>
      </c>
    </row>
    <row r="132" spans="1:19" x14ac:dyDescent="0.3">
      <c r="A132" s="23" t="s">
        <v>133</v>
      </c>
      <c r="B132" s="23" t="s">
        <v>220</v>
      </c>
      <c r="C132" s="23" t="s">
        <v>230</v>
      </c>
      <c r="D132" s="39">
        <v>1</v>
      </c>
      <c r="E132" s="40" t="s">
        <v>280</v>
      </c>
      <c r="F132" s="41">
        <v>22</v>
      </c>
      <c r="G132" s="68" t="s">
        <v>288</v>
      </c>
      <c r="H132" s="41">
        <v>24</v>
      </c>
      <c r="I132" s="68" t="s">
        <v>288</v>
      </c>
      <c r="J132" s="41">
        <v>20.5</v>
      </c>
      <c r="K132" s="68" t="s">
        <v>288</v>
      </c>
      <c r="L132" s="41">
        <v>14.5</v>
      </c>
      <c r="M132" s="68" t="s">
        <v>288</v>
      </c>
      <c r="N132" s="41">
        <v>18.5</v>
      </c>
      <c r="O132" s="68" t="s">
        <v>288</v>
      </c>
      <c r="P132" s="41">
        <v>25.5</v>
      </c>
      <c r="Q132" s="68" t="s">
        <v>288</v>
      </c>
      <c r="R132" s="41">
        <v>0</v>
      </c>
      <c r="S132" s="68" t="s">
        <v>288</v>
      </c>
    </row>
    <row r="133" spans="1:19" x14ac:dyDescent="0.3">
      <c r="A133" s="23" t="s">
        <v>134</v>
      </c>
      <c r="B133" s="23" t="s">
        <v>220</v>
      </c>
      <c r="C133" s="23" t="s">
        <v>231</v>
      </c>
      <c r="D133" s="39">
        <v>1</v>
      </c>
      <c r="E133" s="40" t="s">
        <v>280</v>
      </c>
      <c r="F133" s="41">
        <v>6</v>
      </c>
      <c r="G133" s="68" t="s">
        <v>288</v>
      </c>
      <c r="H133" s="41">
        <v>8.5</v>
      </c>
      <c r="I133" s="68" t="s">
        <v>288</v>
      </c>
      <c r="J133" s="41">
        <v>7</v>
      </c>
      <c r="K133" s="68" t="s">
        <v>288</v>
      </c>
      <c r="L133" s="41">
        <v>4</v>
      </c>
      <c r="M133" s="68" t="s">
        <v>288</v>
      </c>
      <c r="N133" s="41">
        <v>143</v>
      </c>
      <c r="O133" s="68" t="s">
        <v>288</v>
      </c>
      <c r="P133" s="41">
        <v>10.7</v>
      </c>
      <c r="Q133" s="68" t="s">
        <v>288</v>
      </c>
      <c r="R133" s="41">
        <v>0</v>
      </c>
      <c r="S133" s="68" t="s">
        <v>288</v>
      </c>
    </row>
    <row r="134" spans="1:19" x14ac:dyDescent="0.3">
      <c r="A134" s="23" t="s">
        <v>135</v>
      </c>
      <c r="B134" s="23" t="s">
        <v>220</v>
      </c>
      <c r="C134" s="23" t="s">
        <v>232</v>
      </c>
      <c r="D134" s="39">
        <v>1</v>
      </c>
      <c r="E134" s="40" t="s">
        <v>280</v>
      </c>
      <c r="F134" s="41">
        <v>15</v>
      </c>
      <c r="G134" s="68" t="s">
        <v>288</v>
      </c>
      <c r="H134" s="41">
        <v>7.5</v>
      </c>
      <c r="I134" s="68" t="s">
        <v>288</v>
      </c>
      <c r="J134" s="41">
        <v>7</v>
      </c>
      <c r="K134" s="68" t="s">
        <v>288</v>
      </c>
      <c r="L134" s="41">
        <v>5.2</v>
      </c>
      <c r="M134" s="68" t="s">
        <v>288</v>
      </c>
      <c r="N134" s="41">
        <v>27.2</v>
      </c>
      <c r="O134" s="68" t="s">
        <v>288</v>
      </c>
      <c r="P134" s="41">
        <v>62.1</v>
      </c>
      <c r="Q134" s="68" t="s">
        <v>288</v>
      </c>
      <c r="R134" s="41">
        <v>0</v>
      </c>
      <c r="S134" s="68" t="s">
        <v>288</v>
      </c>
    </row>
    <row r="135" spans="1:19" x14ac:dyDescent="0.3">
      <c r="A135" s="23" t="s">
        <v>136</v>
      </c>
      <c r="B135" s="23"/>
      <c r="C135" s="23" t="s">
        <v>233</v>
      </c>
      <c r="D135" s="39">
        <v>10</v>
      </c>
      <c r="E135" s="40" t="s">
        <v>281</v>
      </c>
      <c r="F135" s="41">
        <v>73</v>
      </c>
      <c r="G135" s="42">
        <f t="shared" si="192"/>
        <v>730</v>
      </c>
      <c r="H135" s="41">
        <v>165</v>
      </c>
      <c r="I135" s="42">
        <f t="shared" si="192"/>
        <v>1650</v>
      </c>
      <c r="J135" s="41">
        <v>250</v>
      </c>
      <c r="K135" s="42">
        <f t="shared" ref="K135" si="268">$D135*J135</f>
        <v>2500</v>
      </c>
      <c r="L135" s="41">
        <v>272.10000000000002</v>
      </c>
      <c r="M135" s="42">
        <f t="shared" ref="M135" si="269">$D135*L135</f>
        <v>2721</v>
      </c>
      <c r="N135" s="41">
        <v>420</v>
      </c>
      <c r="O135" s="42">
        <f t="shared" ref="O135" si="270">$D135*N135</f>
        <v>4200</v>
      </c>
      <c r="P135" s="41">
        <v>392.7</v>
      </c>
      <c r="Q135" s="42">
        <f t="shared" ref="Q135" si="271">$D135*P135</f>
        <v>3927</v>
      </c>
      <c r="R135" s="41">
        <v>0</v>
      </c>
      <c r="S135" s="42">
        <f t="shared" ref="S135" si="272">$D135*R135</f>
        <v>0</v>
      </c>
    </row>
    <row r="136" spans="1:19" x14ac:dyDescent="0.3">
      <c r="A136" s="23" t="s">
        <v>137</v>
      </c>
      <c r="B136" s="23"/>
      <c r="C136" s="23" t="s">
        <v>234</v>
      </c>
      <c r="D136" s="39">
        <v>2</v>
      </c>
      <c r="E136" s="40" t="s">
        <v>281</v>
      </c>
      <c r="F136" s="41">
        <v>62</v>
      </c>
      <c r="G136" s="42">
        <f t="shared" si="192"/>
        <v>124</v>
      </c>
      <c r="H136" s="41">
        <v>82.5</v>
      </c>
      <c r="I136" s="42">
        <f t="shared" si="192"/>
        <v>165</v>
      </c>
      <c r="J136" s="41">
        <v>71.5</v>
      </c>
      <c r="K136" s="42">
        <f t="shared" ref="K136" si="273">$D136*J136</f>
        <v>143</v>
      </c>
      <c r="L136" s="41">
        <v>65</v>
      </c>
      <c r="M136" s="42">
        <f t="shared" ref="M136" si="274">$D136*L136</f>
        <v>130</v>
      </c>
      <c r="N136" s="41">
        <v>102</v>
      </c>
      <c r="O136" s="42">
        <f t="shared" ref="O136" si="275">$D136*N136</f>
        <v>204</v>
      </c>
      <c r="P136" s="41">
        <v>79.8</v>
      </c>
      <c r="Q136" s="42">
        <f t="shared" ref="Q136" si="276">$D136*P136</f>
        <v>159.6</v>
      </c>
      <c r="R136" s="41">
        <v>0</v>
      </c>
      <c r="S136" s="42">
        <f t="shared" ref="S136" si="277">$D136*R136</f>
        <v>0</v>
      </c>
    </row>
    <row r="137" spans="1:19" x14ac:dyDescent="0.3">
      <c r="A137" s="23" t="s">
        <v>138</v>
      </c>
      <c r="B137" s="23"/>
      <c r="C137" s="23" t="s">
        <v>235</v>
      </c>
      <c r="D137" s="39">
        <v>5</v>
      </c>
      <c r="E137" s="40" t="s">
        <v>281</v>
      </c>
      <c r="F137" s="41">
        <v>65</v>
      </c>
      <c r="G137" s="42">
        <f t="shared" si="192"/>
        <v>325</v>
      </c>
      <c r="H137" s="41">
        <v>82.5</v>
      </c>
      <c r="I137" s="42">
        <f t="shared" si="192"/>
        <v>412.5</v>
      </c>
      <c r="J137" s="41">
        <v>91.5</v>
      </c>
      <c r="K137" s="42">
        <f t="shared" ref="K137" si="278">$D137*J137</f>
        <v>457.5</v>
      </c>
      <c r="L137" s="41">
        <v>65</v>
      </c>
      <c r="M137" s="42">
        <f t="shared" ref="M137" si="279">$D137*L137</f>
        <v>325</v>
      </c>
      <c r="N137" s="41">
        <v>125</v>
      </c>
      <c r="O137" s="42">
        <f t="shared" ref="O137" si="280">$D137*N137</f>
        <v>625</v>
      </c>
      <c r="P137" s="41">
        <v>126.6</v>
      </c>
      <c r="Q137" s="42">
        <f t="shared" ref="Q137" si="281">$D137*P137</f>
        <v>633</v>
      </c>
      <c r="R137" s="41">
        <v>0</v>
      </c>
      <c r="S137" s="42">
        <f t="shared" ref="S137" si="282">$D137*R137</f>
        <v>0</v>
      </c>
    </row>
    <row r="138" spans="1:19" x14ac:dyDescent="0.3">
      <c r="A138" s="23" t="s">
        <v>139</v>
      </c>
      <c r="B138" s="23" t="s">
        <v>220</v>
      </c>
      <c r="C138" s="23" t="s">
        <v>236</v>
      </c>
      <c r="D138" s="39">
        <v>1</v>
      </c>
      <c r="E138" s="40" t="s">
        <v>281</v>
      </c>
      <c r="F138" s="41">
        <v>75</v>
      </c>
      <c r="G138" s="68" t="s">
        <v>288</v>
      </c>
      <c r="H138" s="41">
        <v>87.5</v>
      </c>
      <c r="I138" s="68" t="s">
        <v>288</v>
      </c>
      <c r="J138" s="41">
        <v>190</v>
      </c>
      <c r="K138" s="68" t="s">
        <v>288</v>
      </c>
      <c r="L138" s="41">
        <v>90</v>
      </c>
      <c r="M138" s="68" t="s">
        <v>288</v>
      </c>
      <c r="N138" s="41">
        <v>210</v>
      </c>
      <c r="O138" s="68" t="s">
        <v>288</v>
      </c>
      <c r="P138" s="41">
        <v>142.80000000000001</v>
      </c>
      <c r="Q138" s="68" t="s">
        <v>288</v>
      </c>
      <c r="R138" s="41">
        <v>0</v>
      </c>
      <c r="S138" s="68" t="s">
        <v>288</v>
      </c>
    </row>
    <row r="139" spans="1:19" x14ac:dyDescent="0.3">
      <c r="A139" s="23" t="s">
        <v>140</v>
      </c>
      <c r="B139" s="23"/>
      <c r="C139" s="23" t="s">
        <v>237</v>
      </c>
      <c r="D139" s="39">
        <v>7</v>
      </c>
      <c r="E139" s="40" t="s">
        <v>281</v>
      </c>
      <c r="F139" s="41">
        <v>250</v>
      </c>
      <c r="G139" s="42">
        <f t="shared" si="192"/>
        <v>1750</v>
      </c>
      <c r="H139" s="41">
        <v>325</v>
      </c>
      <c r="I139" s="42">
        <f t="shared" si="192"/>
        <v>2275</v>
      </c>
      <c r="J139" s="41">
        <v>240</v>
      </c>
      <c r="K139" s="42">
        <f t="shared" ref="K139" si="283">$D139*J139</f>
        <v>1680</v>
      </c>
      <c r="L139" s="41">
        <v>295</v>
      </c>
      <c r="M139" s="42">
        <f t="shared" ref="M139" si="284">$D139*L139</f>
        <v>2065</v>
      </c>
      <c r="N139" s="41">
        <v>502</v>
      </c>
      <c r="O139" s="42">
        <f t="shared" ref="O139" si="285">$D139*N139</f>
        <v>3514</v>
      </c>
      <c r="P139" s="41">
        <v>230.3</v>
      </c>
      <c r="Q139" s="42">
        <f t="shared" ref="Q139" si="286">$D139*P139</f>
        <v>1612.1000000000001</v>
      </c>
      <c r="R139" s="41">
        <v>0</v>
      </c>
      <c r="S139" s="42">
        <f t="shared" ref="S139" si="287">$D139*R139</f>
        <v>0</v>
      </c>
    </row>
    <row r="140" spans="1:19" x14ac:dyDescent="0.3">
      <c r="A140" s="23" t="s">
        <v>141</v>
      </c>
      <c r="B140" s="23"/>
      <c r="C140" s="23" t="s">
        <v>238</v>
      </c>
      <c r="D140" s="39">
        <v>2</v>
      </c>
      <c r="E140" s="40" t="s">
        <v>280</v>
      </c>
      <c r="F140" s="41">
        <v>20</v>
      </c>
      <c r="G140" s="42">
        <f t="shared" si="192"/>
        <v>40</v>
      </c>
      <c r="H140" s="41">
        <v>25.45</v>
      </c>
      <c r="I140" s="42">
        <f t="shared" si="192"/>
        <v>50.9</v>
      </c>
      <c r="J140" s="41">
        <v>25</v>
      </c>
      <c r="K140" s="42">
        <f t="shared" ref="K140" si="288">$D140*J140</f>
        <v>50</v>
      </c>
      <c r="L140" s="41">
        <v>28.9</v>
      </c>
      <c r="M140" s="42">
        <f t="shared" ref="M140" si="289">$D140*L140</f>
        <v>57.8</v>
      </c>
      <c r="N140" s="41">
        <v>38.5</v>
      </c>
      <c r="O140" s="42">
        <f t="shared" ref="O140" si="290">$D140*N140</f>
        <v>77</v>
      </c>
      <c r="P140" s="41">
        <v>31.9</v>
      </c>
      <c r="Q140" s="42">
        <f t="shared" ref="Q140" si="291">$D140*P140</f>
        <v>63.8</v>
      </c>
      <c r="R140" s="41">
        <v>0</v>
      </c>
      <c r="S140" s="42">
        <f t="shared" ref="S140" si="292">$D140*R140</f>
        <v>0</v>
      </c>
    </row>
    <row r="141" spans="1:19" x14ac:dyDescent="0.3">
      <c r="A141" s="23" t="s">
        <v>142</v>
      </c>
      <c r="B141" s="23" t="s">
        <v>220</v>
      </c>
      <c r="C141" s="23" t="s">
        <v>239</v>
      </c>
      <c r="D141" s="39">
        <v>1</v>
      </c>
      <c r="E141" s="40" t="s">
        <v>281</v>
      </c>
      <c r="F141" s="41">
        <v>10</v>
      </c>
      <c r="G141" s="68" t="s">
        <v>288</v>
      </c>
      <c r="H141" s="41">
        <v>18</v>
      </c>
      <c r="I141" s="68" t="s">
        <v>288</v>
      </c>
      <c r="J141" s="41">
        <v>12</v>
      </c>
      <c r="K141" s="68" t="s">
        <v>288</v>
      </c>
      <c r="L141" s="41">
        <v>10</v>
      </c>
      <c r="M141" s="68" t="s">
        <v>288</v>
      </c>
      <c r="N141" s="41">
        <v>12</v>
      </c>
      <c r="O141" s="68" t="s">
        <v>288</v>
      </c>
      <c r="P141" s="41">
        <v>7.8</v>
      </c>
      <c r="Q141" s="68" t="s">
        <v>288</v>
      </c>
      <c r="R141" s="41">
        <v>0</v>
      </c>
      <c r="S141" s="68" t="s">
        <v>288</v>
      </c>
    </row>
    <row r="142" spans="1:19" x14ac:dyDescent="0.3">
      <c r="A142" s="23" t="s">
        <v>143</v>
      </c>
      <c r="B142" s="23" t="s">
        <v>220</v>
      </c>
      <c r="C142" s="23" t="s">
        <v>240</v>
      </c>
      <c r="D142" s="39">
        <v>1</v>
      </c>
      <c r="E142" s="40" t="s">
        <v>281</v>
      </c>
      <c r="F142" s="41">
        <v>15</v>
      </c>
      <c r="G142" s="68" t="s">
        <v>288</v>
      </c>
      <c r="H142" s="41">
        <v>22</v>
      </c>
      <c r="I142" s="68" t="s">
        <v>288</v>
      </c>
      <c r="J142" s="41">
        <v>16</v>
      </c>
      <c r="K142" s="68" t="s">
        <v>288</v>
      </c>
      <c r="L142" s="41">
        <v>25</v>
      </c>
      <c r="M142" s="68" t="s">
        <v>288</v>
      </c>
      <c r="N142" s="41">
        <v>20</v>
      </c>
      <c r="O142" s="68" t="s">
        <v>288</v>
      </c>
      <c r="P142" s="41">
        <v>9</v>
      </c>
      <c r="Q142" s="68" t="s">
        <v>288</v>
      </c>
      <c r="R142" s="41">
        <v>0</v>
      </c>
      <c r="S142" s="68" t="s">
        <v>288</v>
      </c>
    </row>
    <row r="143" spans="1:19" x14ac:dyDescent="0.3">
      <c r="A143" s="23" t="s">
        <v>144</v>
      </c>
      <c r="B143" s="23" t="s">
        <v>220</v>
      </c>
      <c r="C143" s="23" t="s">
        <v>241</v>
      </c>
      <c r="D143" s="39">
        <v>1</v>
      </c>
      <c r="E143" s="40" t="s">
        <v>281</v>
      </c>
      <c r="F143" s="41">
        <v>10</v>
      </c>
      <c r="G143" s="68" t="s">
        <v>288</v>
      </c>
      <c r="H143" s="41">
        <v>25</v>
      </c>
      <c r="I143" s="68" t="s">
        <v>288</v>
      </c>
      <c r="J143" s="41">
        <v>18</v>
      </c>
      <c r="K143" s="68" t="s">
        <v>288</v>
      </c>
      <c r="L143" s="41">
        <v>10</v>
      </c>
      <c r="M143" s="68" t="s">
        <v>288</v>
      </c>
      <c r="N143" s="41">
        <v>25</v>
      </c>
      <c r="O143" s="68" t="s">
        <v>288</v>
      </c>
      <c r="P143" s="41">
        <v>4.5999999999999996</v>
      </c>
      <c r="Q143" s="68" t="s">
        <v>288</v>
      </c>
      <c r="R143" s="41">
        <v>0</v>
      </c>
      <c r="S143" s="68" t="s">
        <v>288</v>
      </c>
    </row>
    <row r="144" spans="1:19" x14ac:dyDescent="0.3">
      <c r="A144" s="23" t="s">
        <v>145</v>
      </c>
      <c r="B144" s="23" t="s">
        <v>220</v>
      </c>
      <c r="C144" s="23" t="s">
        <v>242</v>
      </c>
      <c r="D144" s="39">
        <v>1</v>
      </c>
      <c r="E144" s="40" t="s">
        <v>281</v>
      </c>
      <c r="F144" s="41">
        <v>15</v>
      </c>
      <c r="G144" s="68" t="s">
        <v>288</v>
      </c>
      <c r="H144" s="41">
        <v>30</v>
      </c>
      <c r="I144" s="68" t="s">
        <v>288</v>
      </c>
      <c r="J144" s="41">
        <v>24</v>
      </c>
      <c r="K144" s="68" t="s">
        <v>288</v>
      </c>
      <c r="L144" s="41">
        <v>25</v>
      </c>
      <c r="M144" s="68" t="s">
        <v>288</v>
      </c>
      <c r="N144" s="41">
        <v>35</v>
      </c>
      <c r="O144" s="68" t="s">
        <v>288</v>
      </c>
      <c r="P144" s="41">
        <v>6.8</v>
      </c>
      <c r="Q144" s="68" t="s">
        <v>288</v>
      </c>
      <c r="R144" s="41">
        <v>0</v>
      </c>
      <c r="S144" s="68" t="s">
        <v>288</v>
      </c>
    </row>
    <row r="145" spans="1:19" x14ac:dyDescent="0.3">
      <c r="A145" s="23" t="s">
        <v>146</v>
      </c>
      <c r="B145" s="23" t="s">
        <v>220</v>
      </c>
      <c r="C145" s="23" t="s">
        <v>243</v>
      </c>
      <c r="D145" s="39">
        <v>1</v>
      </c>
      <c r="E145" s="40" t="s">
        <v>281</v>
      </c>
      <c r="F145" s="41">
        <v>20</v>
      </c>
      <c r="G145" s="68" t="s">
        <v>288</v>
      </c>
      <c r="H145" s="41">
        <v>10</v>
      </c>
      <c r="I145" s="68" t="s">
        <v>288</v>
      </c>
      <c r="J145" s="41">
        <v>7</v>
      </c>
      <c r="K145" s="68" t="s">
        <v>288</v>
      </c>
      <c r="L145" s="41">
        <v>3.5</v>
      </c>
      <c r="M145" s="68" t="s">
        <v>288</v>
      </c>
      <c r="N145" s="41">
        <v>8</v>
      </c>
      <c r="O145" s="68" t="s">
        <v>288</v>
      </c>
      <c r="P145" s="41">
        <v>3.7</v>
      </c>
      <c r="Q145" s="68" t="s">
        <v>288</v>
      </c>
      <c r="R145" s="41">
        <v>0</v>
      </c>
      <c r="S145" s="68" t="s">
        <v>288</v>
      </c>
    </row>
    <row r="146" spans="1:19" x14ac:dyDescent="0.3">
      <c r="A146" s="23" t="s">
        <v>147</v>
      </c>
      <c r="B146" s="23" t="s">
        <v>220</v>
      </c>
      <c r="C146" s="23" t="s">
        <v>244</v>
      </c>
      <c r="D146" s="39">
        <v>1</v>
      </c>
      <c r="E146" s="40" t="s">
        <v>281</v>
      </c>
      <c r="F146" s="41">
        <v>30</v>
      </c>
      <c r="G146" s="68" t="s">
        <v>288</v>
      </c>
      <c r="H146" s="41">
        <v>18</v>
      </c>
      <c r="I146" s="68" t="s">
        <v>288</v>
      </c>
      <c r="J146" s="41">
        <v>9</v>
      </c>
      <c r="K146" s="68" t="s">
        <v>288</v>
      </c>
      <c r="L146" s="41">
        <v>10</v>
      </c>
      <c r="M146" s="68" t="s">
        <v>288</v>
      </c>
      <c r="N146" s="41">
        <v>18</v>
      </c>
      <c r="O146" s="68" t="s">
        <v>288</v>
      </c>
      <c r="P146" s="41">
        <v>5.2</v>
      </c>
      <c r="Q146" s="68" t="s">
        <v>288</v>
      </c>
      <c r="R146" s="41">
        <v>0</v>
      </c>
      <c r="S146" s="68" t="s">
        <v>288</v>
      </c>
    </row>
    <row r="147" spans="1:19" x14ac:dyDescent="0.3">
      <c r="A147" s="23" t="s">
        <v>148</v>
      </c>
      <c r="B147" s="23" t="s">
        <v>220</v>
      </c>
      <c r="C147" s="23" t="s">
        <v>245</v>
      </c>
      <c r="D147" s="39">
        <v>1</v>
      </c>
      <c r="E147" s="40" t="s">
        <v>281</v>
      </c>
      <c r="F147" s="41">
        <v>20</v>
      </c>
      <c r="G147" s="68" t="s">
        <v>288</v>
      </c>
      <c r="H147" s="41">
        <v>12</v>
      </c>
      <c r="I147" s="68" t="s">
        <v>288</v>
      </c>
      <c r="J147" s="41">
        <v>9</v>
      </c>
      <c r="K147" s="68" t="s">
        <v>288</v>
      </c>
      <c r="L147" s="41">
        <v>3.5</v>
      </c>
      <c r="M147" s="68" t="s">
        <v>288</v>
      </c>
      <c r="N147" s="41">
        <v>15</v>
      </c>
      <c r="O147" s="68" t="s">
        <v>288</v>
      </c>
      <c r="P147" s="41">
        <v>3.7</v>
      </c>
      <c r="Q147" s="68" t="s">
        <v>288</v>
      </c>
      <c r="R147" s="41">
        <v>0</v>
      </c>
      <c r="S147" s="68" t="s">
        <v>288</v>
      </c>
    </row>
    <row r="148" spans="1:19" x14ac:dyDescent="0.3">
      <c r="A148" s="23" t="s">
        <v>149</v>
      </c>
      <c r="B148" s="23" t="s">
        <v>220</v>
      </c>
      <c r="C148" s="23" t="s">
        <v>246</v>
      </c>
      <c r="D148" s="39">
        <v>1</v>
      </c>
      <c r="E148" s="40" t="s">
        <v>281</v>
      </c>
      <c r="F148" s="41">
        <v>30</v>
      </c>
      <c r="G148" s="68" t="s">
        <v>288</v>
      </c>
      <c r="H148" s="41">
        <v>25</v>
      </c>
      <c r="I148" s="68" t="s">
        <v>288</v>
      </c>
      <c r="J148" s="41">
        <v>12</v>
      </c>
      <c r="K148" s="68" t="s">
        <v>288</v>
      </c>
      <c r="L148" s="41">
        <v>10</v>
      </c>
      <c r="M148" s="68" t="s">
        <v>288</v>
      </c>
      <c r="N148" s="41">
        <v>18</v>
      </c>
      <c r="O148" s="68" t="s">
        <v>288</v>
      </c>
      <c r="P148" s="41">
        <v>5.2</v>
      </c>
      <c r="Q148" s="68" t="s">
        <v>288</v>
      </c>
      <c r="R148" s="41">
        <v>0</v>
      </c>
      <c r="S148" s="68" t="s">
        <v>288</v>
      </c>
    </row>
    <row r="149" spans="1:19" x14ac:dyDescent="0.3">
      <c r="A149" s="23" t="s">
        <v>150</v>
      </c>
      <c r="B149" s="23" t="s">
        <v>220</v>
      </c>
      <c r="C149" s="23" t="s">
        <v>247</v>
      </c>
      <c r="D149" s="39">
        <v>5</v>
      </c>
      <c r="E149" s="40" t="s">
        <v>281</v>
      </c>
      <c r="F149" s="41">
        <v>65</v>
      </c>
      <c r="G149" s="68" t="s">
        <v>288</v>
      </c>
      <c r="H149" s="41">
        <v>75</v>
      </c>
      <c r="I149" s="68" t="s">
        <v>288</v>
      </c>
      <c r="J149" s="41">
        <v>60</v>
      </c>
      <c r="K149" s="68" t="s">
        <v>288</v>
      </c>
      <c r="L149" s="41">
        <v>20</v>
      </c>
      <c r="M149" s="68" t="s">
        <v>288</v>
      </c>
      <c r="N149" s="41">
        <v>90</v>
      </c>
      <c r="O149" s="68" t="s">
        <v>288</v>
      </c>
      <c r="P149" s="41">
        <v>68.5</v>
      </c>
      <c r="Q149" s="68" t="s">
        <v>288</v>
      </c>
      <c r="R149" s="41">
        <v>0</v>
      </c>
      <c r="S149" s="68" t="s">
        <v>288</v>
      </c>
    </row>
    <row r="150" spans="1:19" x14ac:dyDescent="0.3">
      <c r="A150" s="57" t="s">
        <v>126</v>
      </c>
      <c r="B150" s="57"/>
      <c r="C150" s="57" t="s">
        <v>222</v>
      </c>
      <c r="D150" s="58"/>
      <c r="E150" s="59"/>
      <c r="F150" s="60"/>
      <c r="G150" s="61">
        <f>SUM(G126:G149)</f>
        <v>14579</v>
      </c>
      <c r="H150" s="60"/>
      <c r="I150" s="61">
        <f>SUM(I126:I149)</f>
        <v>17775.900000000001</v>
      </c>
      <c r="J150" s="60"/>
      <c r="K150" s="61">
        <f>SUM(K126:K149)</f>
        <v>17838</v>
      </c>
      <c r="L150" s="60"/>
      <c r="M150" s="61">
        <f>SUM(M126:M149)</f>
        <v>18188.05</v>
      </c>
      <c r="N150" s="60"/>
      <c r="O150" s="61">
        <f>SUM(O126:O149)</f>
        <v>20251.5</v>
      </c>
      <c r="P150" s="60"/>
      <c r="Q150" s="61">
        <f>SUM(Q126:Q149)</f>
        <v>19273.999999999996</v>
      </c>
      <c r="R150" s="60"/>
      <c r="S150" s="61">
        <f>SUM(S126:S149)</f>
        <v>0</v>
      </c>
    </row>
    <row r="151" spans="1:19" x14ac:dyDescent="0.3">
      <c r="A151" s="23"/>
      <c r="B151" s="23"/>
      <c r="C151" s="23"/>
      <c r="D151" s="39"/>
      <c r="E151" s="40"/>
      <c r="F151" s="41"/>
      <c r="G151" s="42"/>
      <c r="H151" s="41"/>
      <c r="I151" s="42"/>
      <c r="J151" s="41"/>
      <c r="K151" s="42"/>
      <c r="L151" s="41"/>
      <c r="M151" s="42"/>
      <c r="N151" s="41"/>
      <c r="O151" s="42"/>
      <c r="P151" s="41"/>
      <c r="Q151" s="42"/>
      <c r="R151" s="41"/>
      <c r="S151" s="42"/>
    </row>
    <row r="152" spans="1:19" x14ac:dyDescent="0.3">
      <c r="A152" s="23" t="s">
        <v>152</v>
      </c>
      <c r="B152" s="23"/>
      <c r="C152" s="23" t="s">
        <v>249</v>
      </c>
      <c r="D152" s="39">
        <v>1</v>
      </c>
      <c r="E152" s="40" t="s">
        <v>279</v>
      </c>
      <c r="F152" s="41">
        <v>62</v>
      </c>
      <c r="G152" s="42">
        <f t="shared" si="192"/>
        <v>62</v>
      </c>
      <c r="H152" s="41">
        <v>65</v>
      </c>
      <c r="I152" s="42">
        <f t="shared" si="192"/>
        <v>65</v>
      </c>
      <c r="J152" s="41">
        <v>75</v>
      </c>
      <c r="K152" s="42">
        <f t="shared" ref="K152" si="293">$D152*J152</f>
        <v>75</v>
      </c>
      <c r="L152" s="41">
        <v>49.9</v>
      </c>
      <c r="M152" s="42">
        <f t="shared" ref="M152" si="294">$D152*L152</f>
        <v>49.9</v>
      </c>
      <c r="N152" s="41">
        <v>48</v>
      </c>
      <c r="O152" s="42">
        <f t="shared" ref="O152" si="295">$D152*N152</f>
        <v>48</v>
      </c>
      <c r="P152" s="41">
        <v>100.4</v>
      </c>
      <c r="Q152" s="42">
        <f t="shared" ref="Q152" si="296">$D152*P152</f>
        <v>100.4</v>
      </c>
      <c r="R152" s="41">
        <v>0</v>
      </c>
      <c r="S152" s="42">
        <f t="shared" ref="S152" si="297">$D152*R152</f>
        <v>0</v>
      </c>
    </row>
    <row r="153" spans="1:19" x14ac:dyDescent="0.3">
      <c r="A153" s="23" t="s">
        <v>153</v>
      </c>
      <c r="B153" s="23" t="s">
        <v>220</v>
      </c>
      <c r="C153" s="23" t="s">
        <v>250</v>
      </c>
      <c r="D153" s="39">
        <v>1</v>
      </c>
      <c r="E153" s="40" t="s">
        <v>279</v>
      </c>
      <c r="F153" s="41">
        <v>12</v>
      </c>
      <c r="G153" s="68" t="s">
        <v>288</v>
      </c>
      <c r="H153" s="41">
        <v>7.5</v>
      </c>
      <c r="I153" s="68" t="s">
        <v>288</v>
      </c>
      <c r="J153" s="41">
        <v>16</v>
      </c>
      <c r="K153" s="68" t="s">
        <v>288</v>
      </c>
      <c r="L153" s="41">
        <v>9</v>
      </c>
      <c r="M153" s="68" t="s">
        <v>288</v>
      </c>
      <c r="N153" s="41">
        <v>16</v>
      </c>
      <c r="O153" s="68" t="s">
        <v>288</v>
      </c>
      <c r="P153" s="41">
        <v>15.7</v>
      </c>
      <c r="Q153" s="68" t="s">
        <v>288</v>
      </c>
      <c r="R153" s="41">
        <v>0</v>
      </c>
      <c r="S153" s="68" t="s">
        <v>288</v>
      </c>
    </row>
    <row r="154" spans="1:19" x14ac:dyDescent="0.3">
      <c r="A154" s="23" t="s">
        <v>154</v>
      </c>
      <c r="B154" s="23" t="s">
        <v>220</v>
      </c>
      <c r="C154" s="23" t="s">
        <v>251</v>
      </c>
      <c r="D154" s="39">
        <v>1</v>
      </c>
      <c r="E154" s="40" t="s">
        <v>279</v>
      </c>
      <c r="F154" s="41">
        <v>4</v>
      </c>
      <c r="G154" s="68" t="s">
        <v>288</v>
      </c>
      <c r="H154" s="41">
        <v>2</v>
      </c>
      <c r="I154" s="68" t="s">
        <v>288</v>
      </c>
      <c r="J154" s="41">
        <v>2.5</v>
      </c>
      <c r="K154" s="68" t="s">
        <v>288</v>
      </c>
      <c r="L154" s="41">
        <v>2.2999999999999998</v>
      </c>
      <c r="M154" s="68" t="s">
        <v>288</v>
      </c>
      <c r="N154" s="41">
        <v>4.2</v>
      </c>
      <c r="O154" s="68" t="s">
        <v>288</v>
      </c>
      <c r="P154" s="41">
        <v>3.1</v>
      </c>
      <c r="Q154" s="68" t="s">
        <v>288</v>
      </c>
      <c r="R154" s="41">
        <v>0</v>
      </c>
      <c r="S154" s="68" t="s">
        <v>288</v>
      </c>
    </row>
    <row r="155" spans="1:19" x14ac:dyDescent="0.3">
      <c r="A155" s="23" t="s">
        <v>155</v>
      </c>
      <c r="B155" s="23" t="s">
        <v>220</v>
      </c>
      <c r="C155" s="23" t="s">
        <v>252</v>
      </c>
      <c r="D155" s="39">
        <v>1</v>
      </c>
      <c r="E155" s="40" t="s">
        <v>279</v>
      </c>
      <c r="F155" s="41">
        <v>8</v>
      </c>
      <c r="G155" s="68" t="s">
        <v>288</v>
      </c>
      <c r="H155" s="41">
        <v>4</v>
      </c>
      <c r="I155" s="68" t="s">
        <v>288</v>
      </c>
      <c r="J155" s="41">
        <v>5</v>
      </c>
      <c r="K155" s="68" t="s">
        <v>288</v>
      </c>
      <c r="L155" s="41">
        <v>4.5999999999999996</v>
      </c>
      <c r="M155" s="68" t="s">
        <v>288</v>
      </c>
      <c r="N155" s="41">
        <v>8.4</v>
      </c>
      <c r="O155" s="68" t="s">
        <v>288</v>
      </c>
      <c r="P155" s="41">
        <v>6.2</v>
      </c>
      <c r="Q155" s="68" t="s">
        <v>288</v>
      </c>
      <c r="R155" s="41">
        <v>0</v>
      </c>
      <c r="S155" s="68" t="s">
        <v>288</v>
      </c>
    </row>
    <row r="156" spans="1:19" x14ac:dyDescent="0.3">
      <c r="A156" s="23" t="s">
        <v>156</v>
      </c>
      <c r="B156" s="23" t="s">
        <v>220</v>
      </c>
      <c r="C156" s="23" t="s">
        <v>253</v>
      </c>
      <c r="D156" s="39">
        <v>1</v>
      </c>
      <c r="E156" s="40" t="s">
        <v>279</v>
      </c>
      <c r="F156" s="41">
        <v>6.95</v>
      </c>
      <c r="G156" s="68" t="s">
        <v>288</v>
      </c>
      <c r="H156" s="41">
        <v>5</v>
      </c>
      <c r="I156" s="68" t="s">
        <v>288</v>
      </c>
      <c r="J156" s="41">
        <v>4</v>
      </c>
      <c r="K156" s="68" t="s">
        <v>288</v>
      </c>
      <c r="L156" s="41">
        <v>5</v>
      </c>
      <c r="M156" s="68" t="s">
        <v>288</v>
      </c>
      <c r="N156" s="41">
        <v>8.8000000000000007</v>
      </c>
      <c r="O156" s="68" t="s">
        <v>288</v>
      </c>
      <c r="P156" s="41">
        <v>7.4</v>
      </c>
      <c r="Q156" s="68" t="s">
        <v>288</v>
      </c>
      <c r="R156" s="41">
        <v>0</v>
      </c>
      <c r="S156" s="68" t="s">
        <v>288</v>
      </c>
    </row>
    <row r="157" spans="1:19" x14ac:dyDescent="0.3">
      <c r="A157" s="23" t="s">
        <v>157</v>
      </c>
      <c r="B157" s="23"/>
      <c r="C157" s="23" t="s">
        <v>254</v>
      </c>
      <c r="D157" s="39">
        <v>20</v>
      </c>
      <c r="E157" s="40" t="s">
        <v>280</v>
      </c>
      <c r="F157" s="41">
        <v>15</v>
      </c>
      <c r="G157" s="42">
        <f t="shared" ref="G157:I215" si="298">$D157*F157</f>
        <v>300</v>
      </c>
      <c r="H157" s="41">
        <v>18</v>
      </c>
      <c r="I157" s="42">
        <f t="shared" si="298"/>
        <v>360</v>
      </c>
      <c r="J157" s="41">
        <v>6</v>
      </c>
      <c r="K157" s="42">
        <f t="shared" ref="K157" si="299">$D157*J157</f>
        <v>120</v>
      </c>
      <c r="L157" s="41">
        <v>10.5</v>
      </c>
      <c r="M157" s="42">
        <f t="shared" ref="M157" si="300">$D157*L157</f>
        <v>210</v>
      </c>
      <c r="N157" s="41">
        <v>6.9</v>
      </c>
      <c r="O157" s="42">
        <f t="shared" ref="O157" si="301">$D157*N157</f>
        <v>138</v>
      </c>
      <c r="P157" s="41">
        <v>11.8</v>
      </c>
      <c r="Q157" s="42">
        <f t="shared" ref="Q157" si="302">$D157*P157</f>
        <v>236</v>
      </c>
      <c r="R157" s="41">
        <v>0</v>
      </c>
      <c r="S157" s="42">
        <f t="shared" ref="S157" si="303">$D157*R157</f>
        <v>0</v>
      </c>
    </row>
    <row r="158" spans="1:19" x14ac:dyDescent="0.3">
      <c r="A158" s="23" t="s">
        <v>158</v>
      </c>
      <c r="B158" s="23"/>
      <c r="C158" s="23" t="s">
        <v>255</v>
      </c>
      <c r="D158" s="39">
        <v>20</v>
      </c>
      <c r="E158" s="40" t="s">
        <v>280</v>
      </c>
      <c r="F158" s="41">
        <v>6.5</v>
      </c>
      <c r="G158" s="42">
        <f t="shared" si="298"/>
        <v>130</v>
      </c>
      <c r="H158" s="41">
        <v>7.5</v>
      </c>
      <c r="I158" s="42">
        <f t="shared" si="298"/>
        <v>150</v>
      </c>
      <c r="J158" s="41">
        <v>7</v>
      </c>
      <c r="K158" s="42">
        <f t="shared" ref="K158" si="304">$D158*J158</f>
        <v>140</v>
      </c>
      <c r="L158" s="41">
        <v>4</v>
      </c>
      <c r="M158" s="42">
        <f t="shared" ref="M158" si="305">$D158*L158</f>
        <v>80</v>
      </c>
      <c r="N158" s="41">
        <v>6.5</v>
      </c>
      <c r="O158" s="42">
        <f t="shared" ref="O158" si="306">$D158*N158</f>
        <v>130</v>
      </c>
      <c r="P158" s="41">
        <v>8.1</v>
      </c>
      <c r="Q158" s="42">
        <f t="shared" ref="Q158" si="307">$D158*P158</f>
        <v>162</v>
      </c>
      <c r="R158" s="41">
        <v>0</v>
      </c>
      <c r="S158" s="42">
        <f t="shared" ref="S158" si="308">$D158*R158</f>
        <v>0</v>
      </c>
    </row>
    <row r="159" spans="1:19" x14ac:dyDescent="0.3">
      <c r="A159" s="23" t="s">
        <v>159</v>
      </c>
      <c r="B159" s="23"/>
      <c r="C159" s="23" t="s">
        <v>256</v>
      </c>
      <c r="D159" s="39">
        <v>10</v>
      </c>
      <c r="E159" s="40" t="s">
        <v>281</v>
      </c>
      <c r="F159" s="41">
        <v>10</v>
      </c>
      <c r="G159" s="42">
        <f t="shared" si="298"/>
        <v>100</v>
      </c>
      <c r="H159" s="41">
        <v>19</v>
      </c>
      <c r="I159" s="42">
        <f t="shared" si="298"/>
        <v>190</v>
      </c>
      <c r="J159" s="41">
        <v>16</v>
      </c>
      <c r="K159" s="42">
        <f t="shared" ref="K159" si="309">$D159*J159</f>
        <v>160</v>
      </c>
      <c r="L159" s="41">
        <v>25</v>
      </c>
      <c r="M159" s="42">
        <f t="shared" ref="M159" si="310">$D159*L159</f>
        <v>250</v>
      </c>
      <c r="N159" s="41">
        <v>25</v>
      </c>
      <c r="O159" s="42">
        <f t="shared" ref="O159" si="311">$D159*N159</f>
        <v>250</v>
      </c>
      <c r="P159" s="41">
        <v>13.7</v>
      </c>
      <c r="Q159" s="42">
        <f t="shared" ref="Q159" si="312">$D159*P159</f>
        <v>137</v>
      </c>
      <c r="R159" s="41">
        <v>0</v>
      </c>
      <c r="S159" s="42">
        <f t="shared" ref="S159" si="313">$D159*R159</f>
        <v>0</v>
      </c>
    </row>
    <row r="160" spans="1:19" x14ac:dyDescent="0.3">
      <c r="A160" s="23" t="s">
        <v>160</v>
      </c>
      <c r="B160" s="23"/>
      <c r="C160" s="23" t="s">
        <v>257</v>
      </c>
      <c r="D160" s="39">
        <v>10</v>
      </c>
      <c r="E160" s="40" t="s">
        <v>281</v>
      </c>
      <c r="F160" s="41">
        <v>20</v>
      </c>
      <c r="G160" s="42">
        <f t="shared" si="298"/>
        <v>200</v>
      </c>
      <c r="H160" s="41">
        <v>19</v>
      </c>
      <c r="I160" s="42">
        <f t="shared" si="298"/>
        <v>190</v>
      </c>
      <c r="J160" s="41">
        <v>16</v>
      </c>
      <c r="K160" s="42">
        <f t="shared" ref="K160" si="314">$D160*J160</f>
        <v>160</v>
      </c>
      <c r="L160" s="41">
        <v>25</v>
      </c>
      <c r="M160" s="42">
        <f t="shared" ref="M160" si="315">$D160*L160</f>
        <v>250</v>
      </c>
      <c r="N160" s="41">
        <v>15</v>
      </c>
      <c r="O160" s="42">
        <f t="shared" ref="O160" si="316">$D160*N160</f>
        <v>150</v>
      </c>
      <c r="P160" s="41">
        <v>13.7</v>
      </c>
      <c r="Q160" s="42">
        <f t="shared" ref="Q160" si="317">$D160*P160</f>
        <v>137</v>
      </c>
      <c r="R160" s="41">
        <v>0</v>
      </c>
      <c r="S160" s="42">
        <f t="shared" ref="S160" si="318">$D160*R160</f>
        <v>0</v>
      </c>
    </row>
    <row r="161" spans="1:19" x14ac:dyDescent="0.3">
      <c r="A161" s="23" t="s">
        <v>161</v>
      </c>
      <c r="B161" s="23"/>
      <c r="C161" s="23" t="s">
        <v>258</v>
      </c>
      <c r="D161" s="39">
        <v>5</v>
      </c>
      <c r="E161" s="40" t="s">
        <v>281</v>
      </c>
      <c r="F161" s="41">
        <v>65</v>
      </c>
      <c r="G161" s="42">
        <f t="shared" si="298"/>
        <v>325</v>
      </c>
      <c r="H161" s="41">
        <v>82.75</v>
      </c>
      <c r="I161" s="42">
        <f t="shared" si="298"/>
        <v>413.75</v>
      </c>
      <c r="J161" s="41">
        <v>51</v>
      </c>
      <c r="K161" s="42">
        <f t="shared" ref="K161" si="319">$D161*J161</f>
        <v>255</v>
      </c>
      <c r="L161" s="41">
        <v>88</v>
      </c>
      <c r="M161" s="42">
        <f t="shared" ref="M161" si="320">$D161*L161</f>
        <v>440</v>
      </c>
      <c r="N161" s="41">
        <v>55</v>
      </c>
      <c r="O161" s="42">
        <f t="shared" ref="O161" si="321">$D161*N161</f>
        <v>275</v>
      </c>
      <c r="P161" s="41">
        <v>69.099999999999994</v>
      </c>
      <c r="Q161" s="42">
        <f t="shared" ref="Q161" si="322">$D161*P161</f>
        <v>345.5</v>
      </c>
      <c r="R161" s="41">
        <v>0</v>
      </c>
      <c r="S161" s="42">
        <f t="shared" ref="S161" si="323">$D161*R161</f>
        <v>0</v>
      </c>
    </row>
    <row r="162" spans="1:19" x14ac:dyDescent="0.3">
      <c r="A162" s="23" t="s">
        <v>162</v>
      </c>
      <c r="B162" s="23"/>
      <c r="C162" s="23" t="s">
        <v>259</v>
      </c>
      <c r="D162" s="39">
        <v>5</v>
      </c>
      <c r="E162" s="40" t="s">
        <v>281</v>
      </c>
      <c r="F162" s="41">
        <v>80</v>
      </c>
      <c r="G162" s="42">
        <f t="shared" si="298"/>
        <v>400</v>
      </c>
      <c r="H162" s="41">
        <v>97</v>
      </c>
      <c r="I162" s="42">
        <f t="shared" si="298"/>
        <v>485</v>
      </c>
      <c r="J162" s="41">
        <v>62</v>
      </c>
      <c r="K162" s="42">
        <f t="shared" ref="K162" si="324">$D162*J162</f>
        <v>310</v>
      </c>
      <c r="L162" s="41">
        <v>125</v>
      </c>
      <c r="M162" s="42">
        <f t="shared" ref="M162" si="325">$D162*L162</f>
        <v>625</v>
      </c>
      <c r="N162" s="41">
        <v>65</v>
      </c>
      <c r="O162" s="42">
        <f t="shared" ref="O162" si="326">$D162*N162</f>
        <v>325</v>
      </c>
      <c r="P162" s="41">
        <v>91.9</v>
      </c>
      <c r="Q162" s="42">
        <f t="shared" ref="Q162" si="327">$D162*P162</f>
        <v>459.5</v>
      </c>
      <c r="R162" s="41">
        <v>0</v>
      </c>
      <c r="S162" s="42">
        <f t="shared" ref="S162" si="328">$D162*R162</f>
        <v>0</v>
      </c>
    </row>
    <row r="163" spans="1:19" x14ac:dyDescent="0.3">
      <c r="A163" s="23" t="s">
        <v>163</v>
      </c>
      <c r="B163" s="23" t="s">
        <v>220</v>
      </c>
      <c r="C163" s="23" t="s">
        <v>260</v>
      </c>
      <c r="D163" s="39">
        <v>1</v>
      </c>
      <c r="E163" s="40" t="s">
        <v>281</v>
      </c>
      <c r="F163" s="41">
        <v>170</v>
      </c>
      <c r="G163" s="68" t="s">
        <v>288</v>
      </c>
      <c r="H163" s="41">
        <v>290</v>
      </c>
      <c r="I163" s="68" t="s">
        <v>288</v>
      </c>
      <c r="J163" s="41">
        <v>215</v>
      </c>
      <c r="K163" s="68" t="s">
        <v>288</v>
      </c>
      <c r="L163" s="41">
        <v>239.95</v>
      </c>
      <c r="M163" s="68" t="s">
        <v>288</v>
      </c>
      <c r="N163" s="41">
        <v>280</v>
      </c>
      <c r="O163" s="68" t="s">
        <v>288</v>
      </c>
      <c r="P163" s="41">
        <v>346.9</v>
      </c>
      <c r="Q163" s="68" t="s">
        <v>288</v>
      </c>
      <c r="R163" s="41">
        <v>0</v>
      </c>
      <c r="S163" s="68" t="s">
        <v>288</v>
      </c>
    </row>
    <row r="164" spans="1:19" x14ac:dyDescent="0.3">
      <c r="A164" s="23" t="s">
        <v>164</v>
      </c>
      <c r="B164" s="23" t="s">
        <v>220</v>
      </c>
      <c r="C164" s="23" t="s">
        <v>261</v>
      </c>
      <c r="D164" s="39">
        <v>1</v>
      </c>
      <c r="E164" s="40" t="s">
        <v>281</v>
      </c>
      <c r="F164" s="41">
        <v>200</v>
      </c>
      <c r="G164" s="68" t="s">
        <v>288</v>
      </c>
      <c r="H164" s="41">
        <v>348</v>
      </c>
      <c r="I164" s="68" t="s">
        <v>288</v>
      </c>
      <c r="J164" s="41">
        <v>265</v>
      </c>
      <c r="K164" s="68" t="s">
        <v>288</v>
      </c>
      <c r="L164" s="41">
        <v>281.95</v>
      </c>
      <c r="M164" s="68" t="s">
        <v>288</v>
      </c>
      <c r="N164" s="41">
        <v>350</v>
      </c>
      <c r="O164" s="68" t="s">
        <v>288</v>
      </c>
      <c r="P164" s="41">
        <v>391.4</v>
      </c>
      <c r="Q164" s="68" t="s">
        <v>288</v>
      </c>
      <c r="R164" s="41">
        <v>0</v>
      </c>
      <c r="S164" s="68" t="s">
        <v>288</v>
      </c>
    </row>
    <row r="165" spans="1:19" x14ac:dyDescent="0.3">
      <c r="A165" s="57" t="s">
        <v>151</v>
      </c>
      <c r="B165" s="57"/>
      <c r="C165" s="57" t="s">
        <v>248</v>
      </c>
      <c r="D165" s="58"/>
      <c r="E165" s="59"/>
      <c r="F165" s="60"/>
      <c r="G165" s="61">
        <f>SUM(G152:G164)</f>
        <v>1517</v>
      </c>
      <c r="H165" s="60"/>
      <c r="I165" s="61">
        <f>SUM(I152:I164)</f>
        <v>1853.75</v>
      </c>
      <c r="J165" s="60"/>
      <c r="K165" s="61">
        <f>SUM(K152:K164)</f>
        <v>1220</v>
      </c>
      <c r="L165" s="60"/>
      <c r="M165" s="61">
        <f>SUM(M152:M164)</f>
        <v>1904.9</v>
      </c>
      <c r="N165" s="60"/>
      <c r="O165" s="61">
        <f>SUM(O152:O164)</f>
        <v>1316</v>
      </c>
      <c r="P165" s="60"/>
      <c r="Q165" s="61">
        <f>SUM(Q152:Q164)</f>
        <v>1577.4</v>
      </c>
      <c r="R165" s="60"/>
      <c r="S165" s="61">
        <f>SUM(S152:S164)</f>
        <v>0</v>
      </c>
    </row>
    <row r="166" spans="1:19" x14ac:dyDescent="0.3">
      <c r="A166" s="23"/>
      <c r="B166" s="23"/>
      <c r="C166" s="23"/>
      <c r="D166" s="39"/>
      <c r="E166" s="40"/>
      <c r="F166" s="41"/>
      <c r="G166" s="42"/>
      <c r="H166" s="41"/>
      <c r="I166" s="42"/>
      <c r="J166" s="41"/>
      <c r="K166" s="42"/>
      <c r="L166" s="41"/>
      <c r="M166" s="42"/>
      <c r="N166" s="41"/>
      <c r="O166" s="42"/>
      <c r="P166" s="41"/>
      <c r="Q166" s="42"/>
      <c r="R166" s="41"/>
      <c r="S166" s="42"/>
    </row>
    <row r="167" spans="1:19" x14ac:dyDescent="0.3">
      <c r="A167" s="23" t="s">
        <v>166</v>
      </c>
      <c r="B167" s="23"/>
      <c r="C167" s="23" t="s">
        <v>263</v>
      </c>
      <c r="D167" s="39">
        <v>58</v>
      </c>
      <c r="E167" s="40" t="s">
        <v>279</v>
      </c>
      <c r="F167" s="41">
        <v>75</v>
      </c>
      <c r="G167" s="42">
        <f t="shared" si="298"/>
        <v>4350</v>
      </c>
      <c r="H167" s="41">
        <v>78.900000000000006</v>
      </c>
      <c r="I167" s="42">
        <f t="shared" si="298"/>
        <v>4576.2000000000007</v>
      </c>
      <c r="J167" s="41">
        <v>100</v>
      </c>
      <c r="K167" s="42">
        <f t="shared" ref="K167" si="329">$D167*J167</f>
        <v>5800</v>
      </c>
      <c r="L167" s="41">
        <v>102.25</v>
      </c>
      <c r="M167" s="42">
        <f t="shared" ref="M167" si="330">$D167*L167</f>
        <v>5930.5</v>
      </c>
      <c r="N167" s="41">
        <v>131.5</v>
      </c>
      <c r="O167" s="42">
        <f t="shared" ref="O167" si="331">$D167*N167</f>
        <v>7627</v>
      </c>
      <c r="P167" s="41">
        <v>81.400000000000006</v>
      </c>
      <c r="Q167" s="42">
        <f t="shared" ref="Q167" si="332">$D167*P167</f>
        <v>4721.2000000000007</v>
      </c>
      <c r="R167" s="41">
        <v>0</v>
      </c>
      <c r="S167" s="42">
        <f t="shared" ref="S167" si="333">$D167*R167</f>
        <v>0</v>
      </c>
    </row>
    <row r="168" spans="1:19" x14ac:dyDescent="0.3">
      <c r="A168" s="23" t="s">
        <v>167</v>
      </c>
      <c r="B168" s="23"/>
      <c r="C168" s="23" t="s">
        <v>264</v>
      </c>
      <c r="D168" s="39">
        <v>10</v>
      </c>
      <c r="E168" s="40" t="s">
        <v>280</v>
      </c>
      <c r="F168" s="41">
        <v>22</v>
      </c>
      <c r="G168" s="42">
        <f t="shared" si="298"/>
        <v>220</v>
      </c>
      <c r="H168" s="41">
        <v>14</v>
      </c>
      <c r="I168" s="42">
        <f t="shared" si="298"/>
        <v>140</v>
      </c>
      <c r="J168" s="41">
        <v>9</v>
      </c>
      <c r="K168" s="42">
        <f t="shared" ref="K168" si="334">$D168*J168</f>
        <v>90</v>
      </c>
      <c r="L168" s="41">
        <v>10.9</v>
      </c>
      <c r="M168" s="42">
        <f t="shared" ref="M168" si="335">$D168*L168</f>
        <v>109</v>
      </c>
      <c r="N168" s="41">
        <v>26.2</v>
      </c>
      <c r="O168" s="42">
        <f t="shared" ref="O168" si="336">$D168*N168</f>
        <v>262</v>
      </c>
      <c r="P168" s="41">
        <v>19.100000000000001</v>
      </c>
      <c r="Q168" s="42">
        <f t="shared" ref="Q168" si="337">$D168*P168</f>
        <v>191</v>
      </c>
      <c r="R168" s="41">
        <v>0</v>
      </c>
      <c r="S168" s="42">
        <f t="shared" ref="S168" si="338">$D168*R168</f>
        <v>0</v>
      </c>
    </row>
    <row r="169" spans="1:19" x14ac:dyDescent="0.3">
      <c r="A169" s="23" t="s">
        <v>168</v>
      </c>
      <c r="B169" s="23"/>
      <c r="C169" s="23" t="s">
        <v>265</v>
      </c>
      <c r="D169" s="39">
        <v>32</v>
      </c>
      <c r="E169" s="40" t="s">
        <v>280</v>
      </c>
      <c r="F169" s="41">
        <v>28</v>
      </c>
      <c r="G169" s="42">
        <f t="shared" si="298"/>
        <v>896</v>
      </c>
      <c r="H169" s="41">
        <v>33.75</v>
      </c>
      <c r="I169" s="42">
        <f t="shared" si="298"/>
        <v>1080</v>
      </c>
      <c r="J169" s="41">
        <v>40</v>
      </c>
      <c r="K169" s="42">
        <f t="shared" ref="K169" si="339">$D169*J169</f>
        <v>1280</v>
      </c>
      <c r="L169" s="41">
        <v>36</v>
      </c>
      <c r="M169" s="42">
        <f t="shared" ref="M169" si="340">$D169*L169</f>
        <v>1152</v>
      </c>
      <c r="N169" s="41">
        <v>35</v>
      </c>
      <c r="O169" s="42">
        <f t="shared" ref="O169" si="341">$D169*N169</f>
        <v>1120</v>
      </c>
      <c r="P169" s="41">
        <v>19.100000000000001</v>
      </c>
      <c r="Q169" s="42">
        <f t="shared" ref="Q169" si="342">$D169*P169</f>
        <v>611.20000000000005</v>
      </c>
      <c r="R169" s="41">
        <v>0</v>
      </c>
      <c r="S169" s="42">
        <f t="shared" ref="S169" si="343">$D169*R169</f>
        <v>0</v>
      </c>
    </row>
    <row r="170" spans="1:19" x14ac:dyDescent="0.3">
      <c r="A170" s="23" t="s">
        <v>169</v>
      </c>
      <c r="B170" s="23"/>
      <c r="C170" s="23" t="s">
        <v>266</v>
      </c>
      <c r="D170" s="39">
        <v>5</v>
      </c>
      <c r="E170" s="40" t="s">
        <v>281</v>
      </c>
      <c r="F170" s="41">
        <v>15</v>
      </c>
      <c r="G170" s="42">
        <f t="shared" si="298"/>
        <v>75</v>
      </c>
      <c r="H170" s="41">
        <v>29</v>
      </c>
      <c r="I170" s="42">
        <f t="shared" si="298"/>
        <v>145</v>
      </c>
      <c r="J170" s="41">
        <v>16</v>
      </c>
      <c r="K170" s="42">
        <f t="shared" ref="K170" si="344">$D170*J170</f>
        <v>80</v>
      </c>
      <c r="L170" s="41">
        <v>25</v>
      </c>
      <c r="M170" s="42">
        <f t="shared" ref="M170" si="345">$D170*L170</f>
        <v>125</v>
      </c>
      <c r="N170" s="41">
        <v>26</v>
      </c>
      <c r="O170" s="42">
        <f t="shared" ref="O170" si="346">$D170*N170</f>
        <v>130</v>
      </c>
      <c r="P170" s="41">
        <v>80.5</v>
      </c>
      <c r="Q170" s="42">
        <f t="shared" ref="Q170" si="347">$D170*P170</f>
        <v>402.5</v>
      </c>
      <c r="R170" s="41">
        <v>0</v>
      </c>
      <c r="S170" s="42">
        <f t="shared" ref="S170" si="348">$D170*R170</f>
        <v>0</v>
      </c>
    </row>
    <row r="171" spans="1:19" x14ac:dyDescent="0.3">
      <c r="A171" s="23" t="s">
        <v>170</v>
      </c>
      <c r="B171" s="23"/>
      <c r="C171" s="23" t="s">
        <v>267</v>
      </c>
      <c r="D171" s="39">
        <v>5</v>
      </c>
      <c r="E171" s="40" t="s">
        <v>281</v>
      </c>
      <c r="F171" s="41">
        <v>30</v>
      </c>
      <c r="G171" s="42">
        <f t="shared" si="298"/>
        <v>150</v>
      </c>
      <c r="H171" s="41">
        <v>29</v>
      </c>
      <c r="I171" s="42">
        <f t="shared" si="298"/>
        <v>145</v>
      </c>
      <c r="J171" s="41">
        <v>16</v>
      </c>
      <c r="K171" s="42">
        <f t="shared" ref="K171" si="349">$D171*J171</f>
        <v>80</v>
      </c>
      <c r="L171" s="41">
        <v>25</v>
      </c>
      <c r="M171" s="42">
        <f t="shared" ref="M171" si="350">$D171*L171</f>
        <v>125</v>
      </c>
      <c r="N171" s="41">
        <v>35</v>
      </c>
      <c r="O171" s="42">
        <f t="shared" ref="O171" si="351">$D171*N171</f>
        <v>175</v>
      </c>
      <c r="P171" s="41">
        <v>67.099999999999994</v>
      </c>
      <c r="Q171" s="42">
        <f t="shared" ref="Q171" si="352">$D171*P171</f>
        <v>335.5</v>
      </c>
      <c r="R171" s="41">
        <v>0</v>
      </c>
      <c r="S171" s="42">
        <f t="shared" ref="S171" si="353">$D171*R171</f>
        <v>0</v>
      </c>
    </row>
    <row r="172" spans="1:19" x14ac:dyDescent="0.3">
      <c r="A172" s="57" t="s">
        <v>165</v>
      </c>
      <c r="B172" s="57"/>
      <c r="C172" s="57" t="s">
        <v>262</v>
      </c>
      <c r="D172" s="58"/>
      <c r="E172" s="59"/>
      <c r="F172" s="60"/>
      <c r="G172" s="61">
        <f>SUM(G167:G171)</f>
        <v>5691</v>
      </c>
      <c r="H172" s="60"/>
      <c r="I172" s="61">
        <f>SUM(I167:I171)</f>
        <v>6086.2000000000007</v>
      </c>
      <c r="J172" s="60"/>
      <c r="K172" s="61">
        <f>SUM(K167:K171)</f>
        <v>7330</v>
      </c>
      <c r="L172" s="60"/>
      <c r="M172" s="61">
        <f>SUM(M167:M171)</f>
        <v>7441.5</v>
      </c>
      <c r="N172" s="60"/>
      <c r="O172" s="61">
        <f>SUM(O167:O171)</f>
        <v>9314</v>
      </c>
      <c r="P172" s="60"/>
      <c r="Q172" s="61">
        <f>SUM(Q167:Q171)</f>
        <v>6261.4000000000005</v>
      </c>
      <c r="R172" s="60"/>
      <c r="S172" s="61">
        <f>SUM(S167:S171)</f>
        <v>0</v>
      </c>
    </row>
    <row r="173" spans="1:19" x14ac:dyDescent="0.3">
      <c r="A173" s="23"/>
      <c r="B173" s="23"/>
      <c r="C173" s="23"/>
      <c r="D173" s="39"/>
      <c r="E173" s="40"/>
      <c r="F173" s="41"/>
      <c r="G173" s="42"/>
      <c r="H173" s="41"/>
      <c r="I173" s="42"/>
      <c r="J173" s="41"/>
      <c r="K173" s="42"/>
      <c r="L173" s="41"/>
      <c r="M173" s="42"/>
      <c r="N173" s="41"/>
      <c r="O173" s="42"/>
      <c r="P173" s="41"/>
      <c r="Q173" s="42"/>
      <c r="R173" s="41"/>
      <c r="S173" s="42"/>
    </row>
    <row r="174" spans="1:19" x14ac:dyDescent="0.3">
      <c r="A174" s="23" t="s">
        <v>172</v>
      </c>
      <c r="B174" s="23"/>
      <c r="C174" s="23" t="s">
        <v>269</v>
      </c>
      <c r="D174" s="39">
        <v>5</v>
      </c>
      <c r="E174" s="40" t="s">
        <v>280</v>
      </c>
      <c r="F174" s="41">
        <v>38</v>
      </c>
      <c r="G174" s="42">
        <f t="shared" si="298"/>
        <v>190</v>
      </c>
      <c r="H174" s="41">
        <v>80</v>
      </c>
      <c r="I174" s="42">
        <f t="shared" si="298"/>
        <v>400</v>
      </c>
      <c r="J174" s="41">
        <v>100</v>
      </c>
      <c r="K174" s="42">
        <f t="shared" ref="K174" si="354">$D174*J174</f>
        <v>500</v>
      </c>
      <c r="L174" s="41">
        <v>39.5</v>
      </c>
      <c r="M174" s="42">
        <f t="shared" ref="M174" si="355">$D174*L174</f>
        <v>197.5</v>
      </c>
      <c r="N174" s="41">
        <v>65.2</v>
      </c>
      <c r="O174" s="42">
        <f t="shared" ref="O174" si="356">$D174*N174</f>
        <v>326</v>
      </c>
      <c r="P174" s="41">
        <v>62</v>
      </c>
      <c r="Q174" s="42">
        <f t="shared" ref="Q174" si="357">$D174*P174</f>
        <v>310</v>
      </c>
      <c r="R174" s="41">
        <v>0</v>
      </c>
      <c r="S174" s="42">
        <f t="shared" ref="S174" si="358">$D174*R174</f>
        <v>0</v>
      </c>
    </row>
    <row r="175" spans="1:19" x14ac:dyDescent="0.3">
      <c r="A175" s="23" t="s">
        <v>173</v>
      </c>
      <c r="B175" s="23" t="s">
        <v>220</v>
      </c>
      <c r="C175" s="23" t="s">
        <v>270</v>
      </c>
      <c r="D175" s="39">
        <v>1</v>
      </c>
      <c r="E175" s="40" t="s">
        <v>280</v>
      </c>
      <c r="F175" s="41">
        <v>48</v>
      </c>
      <c r="G175" s="68" t="s">
        <v>288</v>
      </c>
      <c r="H175" s="41">
        <v>85</v>
      </c>
      <c r="I175" s="68" t="s">
        <v>288</v>
      </c>
      <c r="J175" s="41">
        <v>110</v>
      </c>
      <c r="K175" s="68" t="s">
        <v>288</v>
      </c>
      <c r="L175" s="41">
        <v>48.5</v>
      </c>
      <c r="M175" s="68" t="s">
        <v>288</v>
      </c>
      <c r="N175" s="41">
        <v>95</v>
      </c>
      <c r="O175" s="68" t="s">
        <v>288</v>
      </c>
      <c r="P175" s="41">
        <v>68.7</v>
      </c>
      <c r="Q175" s="68" t="s">
        <v>288</v>
      </c>
      <c r="R175" s="41">
        <v>0</v>
      </c>
      <c r="S175" s="68" t="s">
        <v>288</v>
      </c>
    </row>
    <row r="176" spans="1:19" x14ac:dyDescent="0.3">
      <c r="A176" s="23" t="s">
        <v>174</v>
      </c>
      <c r="B176" s="23"/>
      <c r="C176" s="23" t="s">
        <v>271</v>
      </c>
      <c r="D176" s="39">
        <v>5.6</v>
      </c>
      <c r="E176" s="40" t="s">
        <v>280</v>
      </c>
      <c r="F176" s="41">
        <v>65</v>
      </c>
      <c r="G176" s="42">
        <f t="shared" si="298"/>
        <v>364</v>
      </c>
      <c r="H176" s="41"/>
      <c r="I176" s="42">
        <f t="shared" si="298"/>
        <v>0</v>
      </c>
      <c r="J176" s="41">
        <v>150</v>
      </c>
      <c r="K176" s="42">
        <f t="shared" ref="K176" si="359">$D176*J176</f>
        <v>840</v>
      </c>
      <c r="L176" s="41">
        <v>4</v>
      </c>
      <c r="M176" s="42">
        <f t="shared" ref="M176" si="360">$D176*L176</f>
        <v>22.4</v>
      </c>
      <c r="N176" s="41">
        <v>84.4</v>
      </c>
      <c r="O176" s="42">
        <f t="shared" ref="O176" si="361">$D176*N176</f>
        <v>472.64</v>
      </c>
      <c r="P176" s="41">
        <v>171.8</v>
      </c>
      <c r="Q176" s="42">
        <f t="shared" ref="Q176" si="362">$D176*P176</f>
        <v>962.08</v>
      </c>
      <c r="R176" s="41">
        <v>0</v>
      </c>
      <c r="S176" s="42">
        <f t="shared" ref="S176" si="363">$D176*R176</f>
        <v>0</v>
      </c>
    </row>
    <row r="177" spans="1:19" x14ac:dyDescent="0.3">
      <c r="A177" s="23" t="s">
        <v>175</v>
      </c>
      <c r="B177" s="23"/>
      <c r="C177" s="23" t="s">
        <v>272</v>
      </c>
      <c r="D177" s="39">
        <v>7.7</v>
      </c>
      <c r="E177" s="40" t="s">
        <v>280</v>
      </c>
      <c r="F177" s="41">
        <v>6.5</v>
      </c>
      <c r="G177" s="42">
        <f t="shared" si="298"/>
        <v>50.050000000000004</v>
      </c>
      <c r="H177" s="41">
        <v>7.5</v>
      </c>
      <c r="I177" s="42">
        <f t="shared" si="298"/>
        <v>57.75</v>
      </c>
      <c r="J177" s="41">
        <v>7</v>
      </c>
      <c r="K177" s="42">
        <f t="shared" ref="K177" si="364">$D177*J177</f>
        <v>53.9</v>
      </c>
      <c r="L177" s="41">
        <v>4</v>
      </c>
      <c r="M177" s="42">
        <f t="shared" ref="M177" si="365">$D177*L177</f>
        <v>30.8</v>
      </c>
      <c r="N177" s="41">
        <v>6.9</v>
      </c>
      <c r="O177" s="42">
        <f t="shared" ref="O177" si="366">$D177*N177</f>
        <v>53.13</v>
      </c>
      <c r="P177" s="41">
        <v>10.7</v>
      </c>
      <c r="Q177" s="42">
        <f t="shared" ref="Q177" si="367">$D177*P177</f>
        <v>82.39</v>
      </c>
      <c r="R177" s="41">
        <v>0</v>
      </c>
      <c r="S177" s="42">
        <f t="shared" ref="S177" si="368">$D177*R177</f>
        <v>0</v>
      </c>
    </row>
    <row r="178" spans="1:19" x14ac:dyDescent="0.3">
      <c r="A178" s="57" t="s">
        <v>171</v>
      </c>
      <c r="B178" s="57"/>
      <c r="C178" s="57" t="s">
        <v>268</v>
      </c>
      <c r="D178" s="58"/>
      <c r="E178" s="59"/>
      <c r="F178" s="60"/>
      <c r="G178" s="61">
        <f>SUM(G174:G177)</f>
        <v>604.04999999999995</v>
      </c>
      <c r="H178" s="60"/>
      <c r="I178" s="61">
        <f>SUM(I174:I177)</f>
        <v>457.75</v>
      </c>
      <c r="J178" s="60"/>
      <c r="K178" s="61">
        <f>SUM(K174:K177)</f>
        <v>1393.9</v>
      </c>
      <c r="L178" s="60"/>
      <c r="M178" s="61">
        <f>SUM(M174:M177)</f>
        <v>250.70000000000002</v>
      </c>
      <c r="N178" s="60"/>
      <c r="O178" s="61">
        <f>SUM(O174:O177)</f>
        <v>851.77</v>
      </c>
      <c r="P178" s="60"/>
      <c r="Q178" s="61">
        <f>SUM(Q174:Q177)</f>
        <v>1354.47</v>
      </c>
      <c r="R178" s="60"/>
      <c r="S178" s="61">
        <f>SUM(S174:S177)</f>
        <v>0</v>
      </c>
    </row>
    <row r="179" spans="1:19" x14ac:dyDescent="0.3">
      <c r="A179" s="23"/>
      <c r="B179" s="23"/>
      <c r="C179" s="23"/>
      <c r="D179" s="39"/>
      <c r="E179" s="40"/>
      <c r="F179" s="41"/>
      <c r="G179" s="42"/>
      <c r="H179" s="41"/>
      <c r="I179" s="42"/>
      <c r="J179" s="41"/>
      <c r="K179" s="42"/>
      <c r="L179" s="41"/>
      <c r="M179" s="42"/>
      <c r="N179" s="41"/>
      <c r="O179" s="42"/>
      <c r="P179" s="41"/>
      <c r="Q179" s="42"/>
      <c r="R179" s="41"/>
      <c r="S179" s="42"/>
    </row>
    <row r="180" spans="1:19" x14ac:dyDescent="0.3">
      <c r="A180" s="62" t="s">
        <v>176</v>
      </c>
      <c r="B180" s="62"/>
      <c r="C180" s="62" t="s">
        <v>277</v>
      </c>
      <c r="D180" s="63"/>
      <c r="E180" s="64"/>
      <c r="F180" s="65"/>
      <c r="G180" s="66"/>
      <c r="H180" s="65"/>
      <c r="I180" s="66"/>
      <c r="J180" s="65"/>
      <c r="K180" s="66"/>
      <c r="L180" s="65"/>
      <c r="M180" s="66"/>
      <c r="N180" s="65"/>
      <c r="O180" s="66"/>
      <c r="P180" s="65"/>
      <c r="Q180" s="66"/>
      <c r="R180" s="65"/>
      <c r="S180" s="66"/>
    </row>
    <row r="181" spans="1:19" x14ac:dyDescent="0.3">
      <c r="A181" s="23" t="s">
        <v>178</v>
      </c>
      <c r="B181" s="23"/>
      <c r="C181" s="23" t="s">
        <v>224</v>
      </c>
      <c r="D181" s="39">
        <v>200</v>
      </c>
      <c r="E181" s="40" t="s">
        <v>279</v>
      </c>
      <c r="F181" s="41">
        <v>56</v>
      </c>
      <c r="G181" s="42">
        <f t="shared" si="298"/>
        <v>11200</v>
      </c>
      <c r="H181" s="41">
        <v>62.5</v>
      </c>
      <c r="I181" s="42">
        <f t="shared" si="298"/>
        <v>12500</v>
      </c>
      <c r="J181" s="41">
        <v>62.5</v>
      </c>
      <c r="K181" s="42">
        <f t="shared" ref="K181" si="369">$D181*J181</f>
        <v>12500</v>
      </c>
      <c r="L181" s="41">
        <v>59.95</v>
      </c>
      <c r="M181" s="42">
        <f t="shared" ref="M181" si="370">$D181*L181</f>
        <v>11990</v>
      </c>
      <c r="N181" s="41"/>
      <c r="O181" s="42">
        <f t="shared" ref="O181" si="371">$D181*N181</f>
        <v>0</v>
      </c>
      <c r="P181" s="41">
        <v>72</v>
      </c>
      <c r="Q181" s="42">
        <f t="shared" ref="Q181" si="372">$D181*P181</f>
        <v>14400</v>
      </c>
      <c r="R181" s="41">
        <v>0</v>
      </c>
      <c r="S181" s="42">
        <f t="shared" ref="S181" si="373">$D181*R181</f>
        <v>0</v>
      </c>
    </row>
    <row r="182" spans="1:19" x14ac:dyDescent="0.3">
      <c r="A182" s="23" t="s">
        <v>179</v>
      </c>
      <c r="B182" s="23"/>
      <c r="C182" s="23" t="s">
        <v>225</v>
      </c>
      <c r="D182" s="39">
        <v>15</v>
      </c>
      <c r="E182" s="40" t="s">
        <v>279</v>
      </c>
      <c r="F182" s="41">
        <v>65</v>
      </c>
      <c r="G182" s="42">
        <f t="shared" si="298"/>
        <v>975</v>
      </c>
      <c r="H182" s="41">
        <v>79.5</v>
      </c>
      <c r="I182" s="42">
        <f t="shared" si="298"/>
        <v>1192.5</v>
      </c>
      <c r="J182" s="41">
        <v>80</v>
      </c>
      <c r="K182" s="42">
        <f t="shared" ref="K182" si="374">$D182*J182</f>
        <v>1200</v>
      </c>
      <c r="L182" s="41">
        <v>85.5</v>
      </c>
      <c r="M182" s="42">
        <f t="shared" ref="M182" si="375">$D182*L182</f>
        <v>1282.5</v>
      </c>
      <c r="N182" s="41">
        <v>77.5</v>
      </c>
      <c r="O182" s="42">
        <f t="shared" ref="O182" si="376">$D182*N182</f>
        <v>1162.5</v>
      </c>
      <c r="P182" s="41">
        <v>89.5</v>
      </c>
      <c r="Q182" s="42">
        <f t="shared" ref="Q182" si="377">$D182*P182</f>
        <v>1342.5</v>
      </c>
      <c r="R182" s="41">
        <v>0</v>
      </c>
      <c r="S182" s="42">
        <f t="shared" ref="S182" si="378">$D182*R182</f>
        <v>0</v>
      </c>
    </row>
    <row r="183" spans="1:19" x14ac:dyDescent="0.3">
      <c r="A183" s="23" t="s">
        <v>180</v>
      </c>
      <c r="B183" s="23" t="s">
        <v>220</v>
      </c>
      <c r="C183" s="23" t="s">
        <v>228</v>
      </c>
      <c r="D183" s="39">
        <v>1</v>
      </c>
      <c r="E183" s="40" t="s">
        <v>280</v>
      </c>
      <c r="F183" s="41">
        <v>2</v>
      </c>
      <c r="G183" s="68" t="s">
        <v>288</v>
      </c>
      <c r="H183" s="41">
        <v>20</v>
      </c>
      <c r="I183" s="68" t="s">
        <v>288</v>
      </c>
      <c r="J183" s="41">
        <v>50</v>
      </c>
      <c r="K183" s="68" t="s">
        <v>288</v>
      </c>
      <c r="L183" s="41">
        <v>12.5</v>
      </c>
      <c r="M183" s="68" t="s">
        <v>288</v>
      </c>
      <c r="N183" s="41">
        <v>46.2</v>
      </c>
      <c r="O183" s="68" t="s">
        <v>288</v>
      </c>
      <c r="P183" s="41">
        <v>118.1</v>
      </c>
      <c r="Q183" s="68" t="s">
        <v>288</v>
      </c>
      <c r="R183" s="41">
        <v>0</v>
      </c>
      <c r="S183" s="68" t="s">
        <v>288</v>
      </c>
    </row>
    <row r="184" spans="1:19" x14ac:dyDescent="0.3">
      <c r="A184" s="23" t="s">
        <v>181</v>
      </c>
      <c r="B184" s="23" t="s">
        <v>220</v>
      </c>
      <c r="C184" s="23" t="s">
        <v>278</v>
      </c>
      <c r="D184" s="39">
        <v>1</v>
      </c>
      <c r="E184" s="40" t="s">
        <v>279</v>
      </c>
      <c r="F184" s="41">
        <v>8</v>
      </c>
      <c r="G184" s="68" t="s">
        <v>288</v>
      </c>
      <c r="H184" s="41">
        <v>2</v>
      </c>
      <c r="I184" s="68" t="s">
        <v>288</v>
      </c>
      <c r="J184" s="41">
        <v>5</v>
      </c>
      <c r="K184" s="68" t="s">
        <v>288</v>
      </c>
      <c r="L184" s="41">
        <v>4.5999999999999996</v>
      </c>
      <c r="M184" s="68" t="s">
        <v>288</v>
      </c>
      <c r="N184" s="41">
        <v>4.2</v>
      </c>
      <c r="O184" s="68" t="s">
        <v>288</v>
      </c>
      <c r="P184" s="41">
        <v>7.2</v>
      </c>
      <c r="Q184" s="68" t="s">
        <v>288</v>
      </c>
      <c r="R184" s="41">
        <v>0</v>
      </c>
      <c r="S184" s="68" t="s">
        <v>288</v>
      </c>
    </row>
    <row r="185" spans="1:19" x14ac:dyDescent="0.3">
      <c r="A185" s="23" t="s">
        <v>182</v>
      </c>
      <c r="B185" s="23"/>
      <c r="C185" s="23" t="s">
        <v>229</v>
      </c>
      <c r="D185" s="39">
        <v>10</v>
      </c>
      <c r="E185" s="40" t="s">
        <v>280</v>
      </c>
      <c r="F185" s="41">
        <v>7.5</v>
      </c>
      <c r="G185" s="42">
        <f t="shared" si="298"/>
        <v>75</v>
      </c>
      <c r="H185" s="41">
        <v>21</v>
      </c>
      <c r="I185" s="42">
        <f t="shared" si="298"/>
        <v>210</v>
      </c>
      <c r="J185" s="41">
        <v>25</v>
      </c>
      <c r="K185" s="42">
        <f t="shared" ref="K185" si="379">$D185*J185</f>
        <v>250</v>
      </c>
      <c r="L185" s="41">
        <v>28.2</v>
      </c>
      <c r="M185" s="42">
        <f t="shared" ref="M185" si="380">$D185*L185</f>
        <v>282</v>
      </c>
      <c r="N185" s="41">
        <v>11.5</v>
      </c>
      <c r="O185" s="42">
        <f t="shared" ref="O185" si="381">$D185*N185</f>
        <v>115</v>
      </c>
      <c r="P185" s="41">
        <v>33.700000000000003</v>
      </c>
      <c r="Q185" s="42">
        <f t="shared" ref="Q185" si="382">$D185*P185</f>
        <v>337</v>
      </c>
      <c r="R185" s="41">
        <v>0</v>
      </c>
      <c r="S185" s="42">
        <f t="shared" ref="S185" si="383">$D185*R185</f>
        <v>0</v>
      </c>
    </row>
    <row r="186" spans="1:19" x14ac:dyDescent="0.3">
      <c r="A186" s="23" t="s">
        <v>183</v>
      </c>
      <c r="B186" s="23" t="s">
        <v>220</v>
      </c>
      <c r="C186" s="23" t="s">
        <v>230</v>
      </c>
      <c r="D186" s="39">
        <v>1</v>
      </c>
      <c r="E186" s="40" t="s">
        <v>280</v>
      </c>
      <c r="F186" s="41">
        <v>22</v>
      </c>
      <c r="G186" s="68" t="s">
        <v>288</v>
      </c>
      <c r="H186" s="41"/>
      <c r="I186" s="68" t="s">
        <v>288</v>
      </c>
      <c r="J186" s="41">
        <v>25</v>
      </c>
      <c r="K186" s="68" t="s">
        <v>288</v>
      </c>
      <c r="L186" s="41">
        <v>14.5</v>
      </c>
      <c r="M186" s="68" t="s">
        <v>288</v>
      </c>
      <c r="N186" s="41">
        <v>18.5</v>
      </c>
      <c r="O186" s="68" t="s">
        <v>288</v>
      </c>
      <c r="P186" s="41">
        <v>30.6</v>
      </c>
      <c r="Q186" s="68" t="s">
        <v>288</v>
      </c>
      <c r="R186" s="41">
        <v>0</v>
      </c>
      <c r="S186" s="68" t="s">
        <v>288</v>
      </c>
    </row>
    <row r="187" spans="1:19" x14ac:dyDescent="0.3">
      <c r="A187" s="23" t="s">
        <v>184</v>
      </c>
      <c r="B187" s="23" t="s">
        <v>220</v>
      </c>
      <c r="C187" s="23" t="s">
        <v>231</v>
      </c>
      <c r="D187" s="39">
        <v>1</v>
      </c>
      <c r="E187" s="40" t="s">
        <v>280</v>
      </c>
      <c r="F187" s="41">
        <v>6</v>
      </c>
      <c r="G187" s="68" t="s">
        <v>288</v>
      </c>
      <c r="H187" s="41">
        <v>7.5</v>
      </c>
      <c r="I187" s="68" t="s">
        <v>288</v>
      </c>
      <c r="J187" s="41">
        <v>8</v>
      </c>
      <c r="K187" s="68" t="s">
        <v>288</v>
      </c>
      <c r="L187" s="41">
        <v>4</v>
      </c>
      <c r="M187" s="68" t="s">
        <v>288</v>
      </c>
      <c r="N187" s="41">
        <v>12</v>
      </c>
      <c r="O187" s="68" t="s">
        <v>288</v>
      </c>
      <c r="P187" s="41">
        <v>12.9</v>
      </c>
      <c r="Q187" s="68" t="s">
        <v>288</v>
      </c>
      <c r="R187" s="41">
        <v>0</v>
      </c>
      <c r="S187" s="68" t="s">
        <v>288</v>
      </c>
    </row>
    <row r="188" spans="1:19" x14ac:dyDescent="0.3">
      <c r="A188" s="23" t="s">
        <v>185</v>
      </c>
      <c r="B188" s="23" t="s">
        <v>220</v>
      </c>
      <c r="C188" s="23" t="s">
        <v>232</v>
      </c>
      <c r="D188" s="39">
        <v>1</v>
      </c>
      <c r="E188" s="40" t="s">
        <v>280</v>
      </c>
      <c r="F188" s="41">
        <v>15</v>
      </c>
      <c r="G188" s="68" t="s">
        <v>288</v>
      </c>
      <c r="H188" s="41">
        <v>7.5</v>
      </c>
      <c r="I188" s="68" t="s">
        <v>288</v>
      </c>
      <c r="J188" s="41">
        <v>8</v>
      </c>
      <c r="K188" s="68" t="s">
        <v>288</v>
      </c>
      <c r="L188" s="41">
        <v>5.2</v>
      </c>
      <c r="M188" s="68" t="s">
        <v>288</v>
      </c>
      <c r="N188" s="41">
        <v>27.2</v>
      </c>
      <c r="O188" s="68" t="s">
        <v>288</v>
      </c>
      <c r="P188" s="41">
        <v>74.5</v>
      </c>
      <c r="Q188" s="68" t="s">
        <v>288</v>
      </c>
      <c r="R188" s="41">
        <v>0</v>
      </c>
      <c r="S188" s="68" t="s">
        <v>288</v>
      </c>
    </row>
    <row r="189" spans="1:19" x14ac:dyDescent="0.3">
      <c r="A189" s="23" t="s">
        <v>186</v>
      </c>
      <c r="B189" s="23"/>
      <c r="C189" s="23" t="s">
        <v>233</v>
      </c>
      <c r="D189" s="39">
        <v>6</v>
      </c>
      <c r="E189" s="40" t="s">
        <v>281</v>
      </c>
      <c r="F189" s="41">
        <v>73</v>
      </c>
      <c r="G189" s="42">
        <f t="shared" si="298"/>
        <v>438</v>
      </c>
      <c r="H189" s="41">
        <v>165</v>
      </c>
      <c r="I189" s="42">
        <f t="shared" si="298"/>
        <v>990</v>
      </c>
      <c r="J189" s="41">
        <v>270</v>
      </c>
      <c r="K189" s="42">
        <f t="shared" ref="K189" si="384">$D189*J189</f>
        <v>1620</v>
      </c>
      <c r="L189" s="41">
        <v>272.10000000000002</v>
      </c>
      <c r="M189" s="42">
        <f t="shared" ref="M189" si="385">$D189*L189</f>
        <v>1632.6000000000001</v>
      </c>
      <c r="N189" s="41">
        <v>4.2</v>
      </c>
      <c r="O189" s="42">
        <f t="shared" ref="O189" si="386">$D189*N189</f>
        <v>25.200000000000003</v>
      </c>
      <c r="P189" s="41">
        <v>451.7</v>
      </c>
      <c r="Q189" s="42">
        <f t="shared" ref="Q189" si="387">$D189*P189</f>
        <v>2710.2</v>
      </c>
      <c r="R189" s="41">
        <v>0</v>
      </c>
      <c r="S189" s="42">
        <f t="shared" ref="S189" si="388">$D189*R189</f>
        <v>0</v>
      </c>
    </row>
    <row r="190" spans="1:19" x14ac:dyDescent="0.3">
      <c r="A190" s="23" t="s">
        <v>187</v>
      </c>
      <c r="B190" s="23" t="s">
        <v>220</v>
      </c>
      <c r="C190" s="23" t="s">
        <v>234</v>
      </c>
      <c r="D190" s="39">
        <v>1</v>
      </c>
      <c r="E190" s="40" t="s">
        <v>281</v>
      </c>
      <c r="F190" s="41">
        <v>62</v>
      </c>
      <c r="G190" s="68" t="s">
        <v>288</v>
      </c>
      <c r="H190" s="41">
        <v>82.5</v>
      </c>
      <c r="I190" s="68" t="s">
        <v>288</v>
      </c>
      <c r="J190" s="41">
        <v>75</v>
      </c>
      <c r="K190" s="68" t="s">
        <v>288</v>
      </c>
      <c r="L190" s="41">
        <v>65</v>
      </c>
      <c r="M190" s="68" t="s">
        <v>288</v>
      </c>
      <c r="N190" s="41">
        <v>102</v>
      </c>
      <c r="O190" s="68" t="s">
        <v>288</v>
      </c>
      <c r="P190" s="41">
        <v>91.7</v>
      </c>
      <c r="Q190" s="68" t="s">
        <v>288</v>
      </c>
      <c r="R190" s="41">
        <v>0</v>
      </c>
      <c r="S190" s="68" t="s">
        <v>288</v>
      </c>
    </row>
    <row r="191" spans="1:19" x14ac:dyDescent="0.3">
      <c r="A191" s="23" t="s">
        <v>188</v>
      </c>
      <c r="B191" s="23"/>
      <c r="C191" s="23" t="s">
        <v>235</v>
      </c>
      <c r="D191" s="39">
        <v>3</v>
      </c>
      <c r="E191" s="40" t="s">
        <v>281</v>
      </c>
      <c r="F191" s="41">
        <v>65</v>
      </c>
      <c r="G191" s="42">
        <f t="shared" si="298"/>
        <v>195</v>
      </c>
      <c r="H191" s="41">
        <v>87.5</v>
      </c>
      <c r="I191" s="42">
        <f t="shared" si="298"/>
        <v>262.5</v>
      </c>
      <c r="J191" s="41">
        <v>95</v>
      </c>
      <c r="K191" s="42">
        <f t="shared" ref="K191" si="389">$D191*J191</f>
        <v>285</v>
      </c>
      <c r="L191" s="41">
        <v>65</v>
      </c>
      <c r="M191" s="42">
        <f t="shared" ref="M191" si="390">$D191*L191</f>
        <v>195</v>
      </c>
      <c r="N191" s="41">
        <v>125</v>
      </c>
      <c r="O191" s="42">
        <f t="shared" ref="O191" si="391">$D191*N191</f>
        <v>375</v>
      </c>
      <c r="P191" s="41">
        <v>145.6</v>
      </c>
      <c r="Q191" s="42">
        <f t="shared" ref="Q191" si="392">$D191*P191</f>
        <v>436.79999999999995</v>
      </c>
      <c r="R191" s="41">
        <v>0</v>
      </c>
      <c r="S191" s="42">
        <f t="shared" ref="S191" si="393">$D191*R191</f>
        <v>0</v>
      </c>
    </row>
    <row r="192" spans="1:19" x14ac:dyDescent="0.3">
      <c r="A192" s="23" t="s">
        <v>189</v>
      </c>
      <c r="B192" s="23" t="s">
        <v>220</v>
      </c>
      <c r="C192" s="23" t="s">
        <v>236</v>
      </c>
      <c r="D192" s="39">
        <v>1</v>
      </c>
      <c r="E192" s="40" t="s">
        <v>281</v>
      </c>
      <c r="F192" s="41">
        <v>75</v>
      </c>
      <c r="G192" s="68" t="s">
        <v>288</v>
      </c>
      <c r="H192" s="41">
        <v>87.5</v>
      </c>
      <c r="I192" s="68" t="s">
        <v>288</v>
      </c>
      <c r="J192" s="41">
        <v>200</v>
      </c>
      <c r="K192" s="68" t="s">
        <v>288</v>
      </c>
      <c r="L192" s="41">
        <v>90</v>
      </c>
      <c r="M192" s="68" t="s">
        <v>288</v>
      </c>
      <c r="N192" s="41">
        <v>210</v>
      </c>
      <c r="O192" s="68" t="s">
        <v>288</v>
      </c>
      <c r="P192" s="41">
        <v>164.2</v>
      </c>
      <c r="Q192" s="68" t="s">
        <v>288</v>
      </c>
      <c r="R192" s="41">
        <v>0</v>
      </c>
      <c r="S192" s="68" t="s">
        <v>288</v>
      </c>
    </row>
    <row r="193" spans="1:19" x14ac:dyDescent="0.3">
      <c r="A193" s="23" t="s">
        <v>190</v>
      </c>
      <c r="B193" s="23" t="s">
        <v>220</v>
      </c>
      <c r="C193" s="23" t="s">
        <v>238</v>
      </c>
      <c r="D193" s="39">
        <v>2</v>
      </c>
      <c r="E193" s="40" t="s">
        <v>280</v>
      </c>
      <c r="F193" s="41">
        <v>20</v>
      </c>
      <c r="G193" s="68" t="s">
        <v>288</v>
      </c>
      <c r="H193" s="41">
        <v>25.45</v>
      </c>
      <c r="I193" s="68" t="s">
        <v>288</v>
      </c>
      <c r="J193" s="41">
        <v>25</v>
      </c>
      <c r="K193" s="68" t="s">
        <v>288</v>
      </c>
      <c r="L193" s="41">
        <v>28.9</v>
      </c>
      <c r="M193" s="68" t="s">
        <v>288</v>
      </c>
      <c r="N193" s="41">
        <v>38.5</v>
      </c>
      <c r="O193" s="68" t="s">
        <v>288</v>
      </c>
      <c r="P193" s="41">
        <v>36.6</v>
      </c>
      <c r="Q193" s="68" t="s">
        <v>288</v>
      </c>
      <c r="R193" s="41">
        <v>0</v>
      </c>
      <c r="S193" s="68" t="s">
        <v>288</v>
      </c>
    </row>
    <row r="194" spans="1:19" x14ac:dyDescent="0.3">
      <c r="A194" s="23" t="s">
        <v>191</v>
      </c>
      <c r="B194" s="23" t="s">
        <v>220</v>
      </c>
      <c r="C194" s="23" t="s">
        <v>239</v>
      </c>
      <c r="D194" s="39">
        <v>1</v>
      </c>
      <c r="E194" s="40" t="s">
        <v>281</v>
      </c>
      <c r="F194" s="41">
        <v>10</v>
      </c>
      <c r="G194" s="68" t="s">
        <v>288</v>
      </c>
      <c r="H194" s="41">
        <v>18</v>
      </c>
      <c r="I194" s="68" t="s">
        <v>288</v>
      </c>
      <c r="J194" s="41">
        <v>15</v>
      </c>
      <c r="K194" s="68" t="s">
        <v>288</v>
      </c>
      <c r="L194" s="41">
        <v>10</v>
      </c>
      <c r="M194" s="68" t="s">
        <v>288</v>
      </c>
      <c r="N194" s="41">
        <v>12</v>
      </c>
      <c r="O194" s="68" t="s">
        <v>288</v>
      </c>
      <c r="P194" s="41">
        <v>9</v>
      </c>
      <c r="Q194" s="68" t="s">
        <v>288</v>
      </c>
      <c r="R194" s="41">
        <v>0</v>
      </c>
      <c r="S194" s="68" t="s">
        <v>288</v>
      </c>
    </row>
    <row r="195" spans="1:19" x14ac:dyDescent="0.3">
      <c r="A195" s="23" t="s">
        <v>192</v>
      </c>
      <c r="B195" s="23" t="s">
        <v>220</v>
      </c>
      <c r="C195" s="23" t="s">
        <v>240</v>
      </c>
      <c r="D195" s="39">
        <v>1</v>
      </c>
      <c r="E195" s="40" t="s">
        <v>281</v>
      </c>
      <c r="F195" s="41">
        <v>15</v>
      </c>
      <c r="G195" s="68" t="s">
        <v>288</v>
      </c>
      <c r="H195" s="41">
        <v>22</v>
      </c>
      <c r="I195" s="68" t="s">
        <v>288</v>
      </c>
      <c r="J195" s="41">
        <v>20</v>
      </c>
      <c r="K195" s="68" t="s">
        <v>288</v>
      </c>
      <c r="L195" s="41">
        <v>25</v>
      </c>
      <c r="M195" s="68" t="s">
        <v>288</v>
      </c>
      <c r="N195" s="41">
        <v>20</v>
      </c>
      <c r="O195" s="68" t="s">
        <v>288</v>
      </c>
      <c r="P195" s="41">
        <v>10.3</v>
      </c>
      <c r="Q195" s="68" t="s">
        <v>288</v>
      </c>
      <c r="R195" s="41">
        <v>0</v>
      </c>
      <c r="S195" s="68" t="s">
        <v>288</v>
      </c>
    </row>
    <row r="196" spans="1:19" x14ac:dyDescent="0.3">
      <c r="A196" s="23" t="s">
        <v>193</v>
      </c>
      <c r="B196" s="23" t="s">
        <v>220</v>
      </c>
      <c r="C196" s="23" t="s">
        <v>241</v>
      </c>
      <c r="D196" s="39">
        <v>1</v>
      </c>
      <c r="E196" s="40" t="s">
        <v>281</v>
      </c>
      <c r="F196" s="41">
        <v>10</v>
      </c>
      <c r="G196" s="68" t="s">
        <v>288</v>
      </c>
      <c r="H196" s="41">
        <v>25</v>
      </c>
      <c r="I196" s="68" t="s">
        <v>288</v>
      </c>
      <c r="J196" s="41">
        <v>16</v>
      </c>
      <c r="K196" s="68" t="s">
        <v>288</v>
      </c>
      <c r="L196" s="41">
        <v>10</v>
      </c>
      <c r="M196" s="68" t="s">
        <v>288</v>
      </c>
      <c r="N196" s="41">
        <v>25</v>
      </c>
      <c r="O196" s="68" t="s">
        <v>288</v>
      </c>
      <c r="P196" s="41">
        <v>5.2</v>
      </c>
      <c r="Q196" s="68" t="s">
        <v>288</v>
      </c>
      <c r="R196" s="41">
        <v>0</v>
      </c>
      <c r="S196" s="68" t="s">
        <v>288</v>
      </c>
    </row>
    <row r="197" spans="1:19" x14ac:dyDescent="0.3">
      <c r="A197" s="23" t="s">
        <v>194</v>
      </c>
      <c r="B197" s="23" t="s">
        <v>220</v>
      </c>
      <c r="C197" s="23" t="s">
        <v>242</v>
      </c>
      <c r="D197" s="39">
        <v>1</v>
      </c>
      <c r="E197" s="40" t="s">
        <v>281</v>
      </c>
      <c r="F197" s="41">
        <v>15</v>
      </c>
      <c r="G197" s="68" t="s">
        <v>288</v>
      </c>
      <c r="H197" s="41">
        <v>30</v>
      </c>
      <c r="I197" s="68" t="s">
        <v>288</v>
      </c>
      <c r="J197" s="41">
        <v>24</v>
      </c>
      <c r="K197" s="68" t="s">
        <v>288</v>
      </c>
      <c r="L197" s="41">
        <v>25</v>
      </c>
      <c r="M197" s="68" t="s">
        <v>288</v>
      </c>
      <c r="N197" s="41">
        <v>35</v>
      </c>
      <c r="O197" s="68" t="s">
        <v>288</v>
      </c>
      <c r="P197" s="41">
        <v>7.8</v>
      </c>
      <c r="Q197" s="68" t="s">
        <v>288</v>
      </c>
      <c r="R197" s="41">
        <v>0</v>
      </c>
      <c r="S197" s="68" t="s">
        <v>288</v>
      </c>
    </row>
    <row r="198" spans="1:19" x14ac:dyDescent="0.3">
      <c r="A198" s="23" t="s">
        <v>195</v>
      </c>
      <c r="B198" s="23" t="s">
        <v>220</v>
      </c>
      <c r="C198" s="23" t="s">
        <v>243</v>
      </c>
      <c r="D198" s="39">
        <v>1</v>
      </c>
      <c r="E198" s="40" t="s">
        <v>281</v>
      </c>
      <c r="F198" s="41">
        <v>20</v>
      </c>
      <c r="G198" s="68" t="s">
        <v>288</v>
      </c>
      <c r="H198" s="41">
        <v>10</v>
      </c>
      <c r="I198" s="68" t="s">
        <v>288</v>
      </c>
      <c r="J198" s="41">
        <v>10</v>
      </c>
      <c r="K198" s="68" t="s">
        <v>288</v>
      </c>
      <c r="L198" s="41">
        <v>3.5</v>
      </c>
      <c r="M198" s="68" t="s">
        <v>288</v>
      </c>
      <c r="N198" s="41">
        <v>8</v>
      </c>
      <c r="O198" s="68" t="s">
        <v>288</v>
      </c>
      <c r="P198" s="41">
        <v>4.2</v>
      </c>
      <c r="Q198" s="68" t="s">
        <v>288</v>
      </c>
      <c r="R198" s="41">
        <v>0</v>
      </c>
      <c r="S198" s="68" t="s">
        <v>288</v>
      </c>
    </row>
    <row r="199" spans="1:19" x14ac:dyDescent="0.3">
      <c r="A199" s="23" t="s">
        <v>196</v>
      </c>
      <c r="B199" s="23" t="s">
        <v>220</v>
      </c>
      <c r="C199" s="23" t="s">
        <v>244</v>
      </c>
      <c r="D199" s="39">
        <v>1</v>
      </c>
      <c r="E199" s="40" t="s">
        <v>281</v>
      </c>
      <c r="F199" s="41">
        <v>30</v>
      </c>
      <c r="G199" s="68" t="s">
        <v>288</v>
      </c>
      <c r="H199" s="41">
        <v>18</v>
      </c>
      <c r="I199" s="68" t="s">
        <v>288</v>
      </c>
      <c r="J199" s="41">
        <v>10</v>
      </c>
      <c r="K199" s="68" t="s">
        <v>288</v>
      </c>
      <c r="L199" s="41">
        <v>10</v>
      </c>
      <c r="M199" s="68" t="s">
        <v>288</v>
      </c>
      <c r="N199" s="41">
        <v>18</v>
      </c>
      <c r="O199" s="68" t="s">
        <v>288</v>
      </c>
      <c r="P199" s="41">
        <v>6</v>
      </c>
      <c r="Q199" s="68" t="s">
        <v>288</v>
      </c>
      <c r="R199" s="41">
        <v>0</v>
      </c>
      <c r="S199" s="68" t="s">
        <v>288</v>
      </c>
    </row>
    <row r="200" spans="1:19" x14ac:dyDescent="0.3">
      <c r="A200" s="23" t="s">
        <v>197</v>
      </c>
      <c r="B200" s="23" t="s">
        <v>220</v>
      </c>
      <c r="C200" s="23" t="s">
        <v>245</v>
      </c>
      <c r="D200" s="39">
        <v>1</v>
      </c>
      <c r="E200" s="40" t="s">
        <v>281</v>
      </c>
      <c r="F200" s="41">
        <v>20</v>
      </c>
      <c r="G200" s="68" t="s">
        <v>288</v>
      </c>
      <c r="H200" s="41">
        <v>12</v>
      </c>
      <c r="I200" s="68" t="s">
        <v>288</v>
      </c>
      <c r="J200" s="41">
        <v>15</v>
      </c>
      <c r="K200" s="68" t="s">
        <v>288</v>
      </c>
      <c r="L200" s="41">
        <v>3.5</v>
      </c>
      <c r="M200" s="68" t="s">
        <v>288</v>
      </c>
      <c r="N200" s="41">
        <v>15</v>
      </c>
      <c r="O200" s="68" t="s">
        <v>288</v>
      </c>
      <c r="P200" s="41">
        <v>4.2</v>
      </c>
      <c r="Q200" s="68" t="s">
        <v>288</v>
      </c>
      <c r="R200" s="41">
        <v>0</v>
      </c>
      <c r="S200" s="68" t="s">
        <v>288</v>
      </c>
    </row>
    <row r="201" spans="1:19" x14ac:dyDescent="0.3">
      <c r="A201" s="23" t="s">
        <v>198</v>
      </c>
      <c r="B201" s="23" t="s">
        <v>220</v>
      </c>
      <c r="C201" s="23" t="s">
        <v>246</v>
      </c>
      <c r="D201" s="39">
        <v>1</v>
      </c>
      <c r="E201" s="40" t="s">
        <v>281</v>
      </c>
      <c r="F201" s="41">
        <v>30</v>
      </c>
      <c r="G201" s="68" t="s">
        <v>288</v>
      </c>
      <c r="H201" s="41">
        <v>25</v>
      </c>
      <c r="I201" s="68" t="s">
        <v>288</v>
      </c>
      <c r="J201" s="41">
        <v>15</v>
      </c>
      <c r="K201" s="68" t="s">
        <v>288</v>
      </c>
      <c r="L201" s="41">
        <v>10</v>
      </c>
      <c r="M201" s="68" t="s">
        <v>288</v>
      </c>
      <c r="N201" s="41">
        <v>18</v>
      </c>
      <c r="O201" s="68" t="s">
        <v>288</v>
      </c>
      <c r="P201" s="41">
        <v>6</v>
      </c>
      <c r="Q201" s="68" t="s">
        <v>288</v>
      </c>
      <c r="R201" s="41">
        <v>0</v>
      </c>
      <c r="S201" s="68" t="s">
        <v>288</v>
      </c>
    </row>
    <row r="202" spans="1:19" x14ac:dyDescent="0.3">
      <c r="A202" s="23" t="s">
        <v>199</v>
      </c>
      <c r="B202" s="23"/>
      <c r="C202" s="23" t="s">
        <v>247</v>
      </c>
      <c r="D202" s="39">
        <v>5</v>
      </c>
      <c r="E202" s="40" t="s">
        <v>281</v>
      </c>
      <c r="F202" s="41">
        <v>65</v>
      </c>
      <c r="G202" s="42">
        <f t="shared" si="298"/>
        <v>325</v>
      </c>
      <c r="H202" s="41">
        <v>75</v>
      </c>
      <c r="I202" s="42">
        <f t="shared" si="298"/>
        <v>375</v>
      </c>
      <c r="J202" s="41">
        <v>65</v>
      </c>
      <c r="K202" s="42">
        <f t="shared" ref="K202" si="394">$D202*J202</f>
        <v>325</v>
      </c>
      <c r="L202" s="41">
        <v>20</v>
      </c>
      <c r="M202" s="42">
        <f t="shared" ref="M202" si="395">$D202*L202</f>
        <v>100</v>
      </c>
      <c r="N202" s="41">
        <v>90</v>
      </c>
      <c r="O202" s="42">
        <f t="shared" ref="O202" si="396">$D202*N202</f>
        <v>450</v>
      </c>
      <c r="P202" s="41">
        <v>78.8</v>
      </c>
      <c r="Q202" s="42">
        <f t="shared" ref="Q202" si="397">$D202*P202</f>
        <v>394</v>
      </c>
      <c r="R202" s="41">
        <v>0</v>
      </c>
      <c r="S202" s="42">
        <f t="shared" ref="S202" si="398">$D202*R202</f>
        <v>0</v>
      </c>
    </row>
    <row r="203" spans="1:19" x14ac:dyDescent="0.3">
      <c r="A203" s="57" t="s">
        <v>177</v>
      </c>
      <c r="B203" s="57"/>
      <c r="C203" s="57" t="s">
        <v>222</v>
      </c>
      <c r="D203" s="58"/>
      <c r="E203" s="59"/>
      <c r="F203" s="60"/>
      <c r="G203" s="61">
        <f>SUM(G181:G202)</f>
        <v>13208</v>
      </c>
      <c r="H203" s="60"/>
      <c r="I203" s="61">
        <f>SUM(I181:I202)</f>
        <v>15530</v>
      </c>
      <c r="J203" s="60"/>
      <c r="K203" s="61">
        <f>SUM(K181:K202)</f>
        <v>16180</v>
      </c>
      <c r="L203" s="60"/>
      <c r="M203" s="61">
        <f>SUM(M181:M202)</f>
        <v>15482.1</v>
      </c>
      <c r="N203" s="60"/>
      <c r="O203" s="61">
        <f>SUM(O181:O202)</f>
        <v>2127.6999999999998</v>
      </c>
      <c r="P203" s="60"/>
      <c r="Q203" s="61">
        <f>SUM(Q181:Q202)</f>
        <v>19620.5</v>
      </c>
      <c r="R203" s="60"/>
      <c r="S203" s="61">
        <f>SUM(S181:S202)</f>
        <v>0</v>
      </c>
    </row>
    <row r="204" spans="1:19" x14ac:dyDescent="0.3">
      <c r="A204" s="23"/>
      <c r="B204" s="23"/>
      <c r="C204" s="23"/>
      <c r="D204" s="39"/>
      <c r="E204" s="40"/>
      <c r="F204" s="41"/>
      <c r="G204" s="42"/>
      <c r="H204" s="41"/>
      <c r="I204" s="42"/>
      <c r="J204" s="41"/>
      <c r="K204" s="42"/>
      <c r="L204" s="41"/>
      <c r="M204" s="42"/>
      <c r="N204" s="41"/>
      <c r="O204" s="42"/>
      <c r="P204" s="41"/>
      <c r="Q204" s="42"/>
      <c r="R204" s="41"/>
      <c r="S204" s="42"/>
    </row>
    <row r="205" spans="1:19" x14ac:dyDescent="0.3">
      <c r="A205" s="23" t="s">
        <v>201</v>
      </c>
      <c r="B205" s="23"/>
      <c r="C205" s="23" t="s">
        <v>249</v>
      </c>
      <c r="D205" s="39">
        <v>28</v>
      </c>
      <c r="E205" s="40" t="s">
        <v>279</v>
      </c>
      <c r="F205" s="41">
        <v>62</v>
      </c>
      <c r="G205" s="42">
        <f t="shared" si="298"/>
        <v>1736</v>
      </c>
      <c r="H205" s="41">
        <v>48</v>
      </c>
      <c r="I205" s="42">
        <f t="shared" si="298"/>
        <v>1344</v>
      </c>
      <c r="J205" s="41">
        <v>77.5</v>
      </c>
      <c r="K205" s="42">
        <f t="shared" ref="K205" si="399">$D205*J205</f>
        <v>2170</v>
      </c>
      <c r="L205" s="41">
        <v>49.9</v>
      </c>
      <c r="M205" s="42">
        <f t="shared" ref="M205" si="400">$D205*L205</f>
        <v>1397.2</v>
      </c>
      <c r="N205" s="41">
        <v>48</v>
      </c>
      <c r="O205" s="42">
        <f t="shared" ref="O205" si="401">$D205*N205</f>
        <v>1344</v>
      </c>
      <c r="P205" s="41">
        <v>46.4</v>
      </c>
      <c r="Q205" s="42">
        <f t="shared" ref="Q205" si="402">$D205*P205</f>
        <v>1299.2</v>
      </c>
      <c r="R205" s="41">
        <v>0</v>
      </c>
      <c r="S205" s="42">
        <f t="shared" ref="S205" si="403">$D205*R205</f>
        <v>0</v>
      </c>
    </row>
    <row r="206" spans="1:19" x14ac:dyDescent="0.3">
      <c r="A206" s="23" t="s">
        <v>202</v>
      </c>
      <c r="B206" s="23" t="s">
        <v>220</v>
      </c>
      <c r="C206" s="23" t="s">
        <v>250</v>
      </c>
      <c r="D206" s="39">
        <v>1</v>
      </c>
      <c r="E206" s="40" t="s">
        <v>279</v>
      </c>
      <c r="F206" s="41">
        <v>12</v>
      </c>
      <c r="G206" s="68" t="s">
        <v>288</v>
      </c>
      <c r="H206" s="41">
        <v>7.5</v>
      </c>
      <c r="I206" s="68" t="s">
        <v>288</v>
      </c>
      <c r="J206" s="41">
        <v>16.5</v>
      </c>
      <c r="K206" s="68" t="s">
        <v>288</v>
      </c>
      <c r="L206" s="41">
        <v>9</v>
      </c>
      <c r="M206" s="68" t="s">
        <v>288</v>
      </c>
      <c r="N206" s="41">
        <v>16</v>
      </c>
      <c r="O206" s="68" t="s">
        <v>288</v>
      </c>
      <c r="P206" s="41">
        <v>18</v>
      </c>
      <c r="Q206" s="68" t="s">
        <v>288</v>
      </c>
      <c r="R206" s="41">
        <v>0</v>
      </c>
      <c r="S206" s="68" t="s">
        <v>288</v>
      </c>
    </row>
    <row r="207" spans="1:19" x14ac:dyDescent="0.3">
      <c r="A207" s="23" t="s">
        <v>203</v>
      </c>
      <c r="B207" s="23" t="s">
        <v>220</v>
      </c>
      <c r="C207" s="23" t="s">
        <v>251</v>
      </c>
      <c r="D207" s="39">
        <v>1</v>
      </c>
      <c r="E207" s="40" t="s">
        <v>279</v>
      </c>
      <c r="F207" s="41">
        <v>4</v>
      </c>
      <c r="G207" s="68" t="s">
        <v>288</v>
      </c>
      <c r="H207" s="41">
        <v>2</v>
      </c>
      <c r="I207" s="68" t="s">
        <v>288</v>
      </c>
      <c r="J207" s="41">
        <v>2.5</v>
      </c>
      <c r="K207" s="68" t="s">
        <v>288</v>
      </c>
      <c r="L207" s="41">
        <v>2.2999999999999998</v>
      </c>
      <c r="M207" s="68" t="s">
        <v>288</v>
      </c>
      <c r="N207" s="41">
        <v>4.2</v>
      </c>
      <c r="O207" s="68" t="s">
        <v>288</v>
      </c>
      <c r="P207" s="41">
        <v>3.6</v>
      </c>
      <c r="Q207" s="68" t="s">
        <v>288</v>
      </c>
      <c r="R207" s="41">
        <v>0</v>
      </c>
      <c r="S207" s="68" t="s">
        <v>288</v>
      </c>
    </row>
    <row r="208" spans="1:19" x14ac:dyDescent="0.3">
      <c r="A208" s="23" t="s">
        <v>204</v>
      </c>
      <c r="B208" s="23" t="s">
        <v>220</v>
      </c>
      <c r="C208" s="23" t="s">
        <v>252</v>
      </c>
      <c r="D208" s="39">
        <v>1</v>
      </c>
      <c r="E208" s="40" t="s">
        <v>279</v>
      </c>
      <c r="F208" s="41">
        <v>8</v>
      </c>
      <c r="G208" s="68" t="s">
        <v>288</v>
      </c>
      <c r="H208" s="41">
        <v>4</v>
      </c>
      <c r="I208" s="68" t="s">
        <v>288</v>
      </c>
      <c r="J208" s="41">
        <v>5</v>
      </c>
      <c r="K208" s="68" t="s">
        <v>288</v>
      </c>
      <c r="L208" s="41">
        <v>4.5999999999999996</v>
      </c>
      <c r="M208" s="68" t="s">
        <v>288</v>
      </c>
      <c r="N208" s="41">
        <v>8.4</v>
      </c>
      <c r="O208" s="68" t="s">
        <v>288</v>
      </c>
      <c r="P208" s="41">
        <v>7.2</v>
      </c>
      <c r="Q208" s="68" t="s">
        <v>288</v>
      </c>
      <c r="R208" s="41">
        <v>0</v>
      </c>
      <c r="S208" s="68" t="s">
        <v>288</v>
      </c>
    </row>
    <row r="209" spans="1:19" x14ac:dyDescent="0.3">
      <c r="A209" s="23" t="s">
        <v>205</v>
      </c>
      <c r="B209" s="23" t="s">
        <v>220</v>
      </c>
      <c r="C209" s="23" t="s">
        <v>253</v>
      </c>
      <c r="D209" s="39">
        <v>1</v>
      </c>
      <c r="E209" s="40" t="s">
        <v>279</v>
      </c>
      <c r="F209" s="41">
        <v>6.95</v>
      </c>
      <c r="G209" s="68" t="s">
        <v>288</v>
      </c>
      <c r="H209" s="41">
        <v>5</v>
      </c>
      <c r="I209" s="68" t="s">
        <v>288</v>
      </c>
      <c r="J209" s="41">
        <v>4.5</v>
      </c>
      <c r="K209" s="68" t="s">
        <v>288</v>
      </c>
      <c r="L209" s="41">
        <v>5</v>
      </c>
      <c r="M209" s="68" t="s">
        <v>288</v>
      </c>
      <c r="N209" s="41">
        <v>8.8000000000000007</v>
      </c>
      <c r="O209" s="68" t="s">
        <v>288</v>
      </c>
      <c r="P209" s="41">
        <v>8.6</v>
      </c>
      <c r="Q209" s="68" t="s">
        <v>288</v>
      </c>
      <c r="R209" s="41">
        <v>0</v>
      </c>
      <c r="S209" s="68" t="s">
        <v>288</v>
      </c>
    </row>
    <row r="210" spans="1:19" x14ac:dyDescent="0.3">
      <c r="A210" s="23" t="s">
        <v>206</v>
      </c>
      <c r="B210" s="23"/>
      <c r="C210" s="23" t="s">
        <v>254</v>
      </c>
      <c r="D210" s="39">
        <v>5</v>
      </c>
      <c r="E210" s="40" t="s">
        <v>280</v>
      </c>
      <c r="F210" s="41">
        <v>15</v>
      </c>
      <c r="G210" s="42">
        <f t="shared" si="298"/>
        <v>75</v>
      </c>
      <c r="H210" s="41">
        <v>18</v>
      </c>
      <c r="I210" s="42">
        <f t="shared" si="298"/>
        <v>90</v>
      </c>
      <c r="J210" s="41">
        <v>6</v>
      </c>
      <c r="K210" s="42">
        <f t="shared" ref="K210" si="404">$D210*J210</f>
        <v>30</v>
      </c>
      <c r="L210" s="41">
        <v>10.5</v>
      </c>
      <c r="M210" s="42">
        <f t="shared" ref="M210" si="405">$D210*L210</f>
        <v>52.5</v>
      </c>
      <c r="N210" s="41">
        <v>6.9</v>
      </c>
      <c r="O210" s="42">
        <f t="shared" ref="O210" si="406">$D210*N210</f>
        <v>34.5</v>
      </c>
      <c r="P210" s="41">
        <v>13.5</v>
      </c>
      <c r="Q210" s="42">
        <f t="shared" ref="Q210" si="407">$D210*P210</f>
        <v>67.5</v>
      </c>
      <c r="R210" s="41">
        <v>0</v>
      </c>
      <c r="S210" s="42">
        <f t="shared" ref="S210" si="408">$D210*R210</f>
        <v>0</v>
      </c>
    </row>
    <row r="211" spans="1:19" x14ac:dyDescent="0.3">
      <c r="A211" s="23" t="s">
        <v>207</v>
      </c>
      <c r="B211" s="23"/>
      <c r="C211" s="23" t="s">
        <v>255</v>
      </c>
      <c r="D211" s="39">
        <v>5</v>
      </c>
      <c r="E211" s="40" t="s">
        <v>280</v>
      </c>
      <c r="F211" s="41">
        <v>6.5</v>
      </c>
      <c r="G211" s="42">
        <f t="shared" si="298"/>
        <v>32.5</v>
      </c>
      <c r="H211" s="41">
        <v>7.5</v>
      </c>
      <c r="I211" s="42">
        <f t="shared" si="298"/>
        <v>37.5</v>
      </c>
      <c r="J211" s="41">
        <v>7</v>
      </c>
      <c r="K211" s="42">
        <f t="shared" ref="K211" si="409">$D211*J211</f>
        <v>35</v>
      </c>
      <c r="L211" s="41">
        <v>4</v>
      </c>
      <c r="M211" s="42">
        <f t="shared" ref="M211" si="410">$D211*L211</f>
        <v>20</v>
      </c>
      <c r="N211" s="41">
        <v>6.5</v>
      </c>
      <c r="O211" s="42">
        <f t="shared" ref="O211" si="411">$D211*N211</f>
        <v>32.5</v>
      </c>
      <c r="P211" s="41">
        <v>9.3000000000000007</v>
      </c>
      <c r="Q211" s="42">
        <f t="shared" ref="Q211" si="412">$D211*P211</f>
        <v>46.5</v>
      </c>
      <c r="R211" s="41">
        <v>0</v>
      </c>
      <c r="S211" s="42">
        <f t="shared" ref="S211" si="413">$D211*R211</f>
        <v>0</v>
      </c>
    </row>
    <row r="212" spans="1:19" x14ac:dyDescent="0.3">
      <c r="A212" s="23" t="s">
        <v>208</v>
      </c>
      <c r="B212" s="23"/>
      <c r="C212" s="23" t="s">
        <v>256</v>
      </c>
      <c r="D212" s="39">
        <v>10</v>
      </c>
      <c r="E212" s="40" t="s">
        <v>281</v>
      </c>
      <c r="F212" s="41">
        <v>10</v>
      </c>
      <c r="G212" s="42">
        <f t="shared" si="298"/>
        <v>100</v>
      </c>
      <c r="H212" s="41">
        <v>19</v>
      </c>
      <c r="I212" s="42">
        <f t="shared" si="298"/>
        <v>190</v>
      </c>
      <c r="J212" s="41">
        <v>20</v>
      </c>
      <c r="K212" s="42">
        <f t="shared" ref="K212" si="414">$D212*J212</f>
        <v>200</v>
      </c>
      <c r="L212" s="41">
        <v>25</v>
      </c>
      <c r="M212" s="42">
        <f t="shared" ref="M212" si="415">$D212*L212</f>
        <v>250</v>
      </c>
      <c r="N212" s="41">
        <v>25</v>
      </c>
      <c r="O212" s="42">
        <f t="shared" ref="O212" si="416">$D212*N212</f>
        <v>250</v>
      </c>
      <c r="P212" s="41">
        <v>15.8</v>
      </c>
      <c r="Q212" s="42">
        <f t="shared" ref="Q212" si="417">$D212*P212</f>
        <v>158</v>
      </c>
      <c r="R212" s="41">
        <v>0</v>
      </c>
      <c r="S212" s="42">
        <f t="shared" ref="S212" si="418">$D212*R212</f>
        <v>0</v>
      </c>
    </row>
    <row r="213" spans="1:19" x14ac:dyDescent="0.3">
      <c r="A213" s="23" t="s">
        <v>209</v>
      </c>
      <c r="B213" s="23"/>
      <c r="C213" s="23" t="s">
        <v>257</v>
      </c>
      <c r="D213" s="39">
        <v>10</v>
      </c>
      <c r="E213" s="40" t="s">
        <v>281</v>
      </c>
      <c r="F213" s="41">
        <v>20</v>
      </c>
      <c r="G213" s="42">
        <f t="shared" si="298"/>
        <v>200</v>
      </c>
      <c r="H213" s="41">
        <v>19</v>
      </c>
      <c r="I213" s="42">
        <f t="shared" si="298"/>
        <v>190</v>
      </c>
      <c r="J213" s="41">
        <v>20</v>
      </c>
      <c r="K213" s="42">
        <f t="shared" ref="K213" si="419">$D213*J213</f>
        <v>200</v>
      </c>
      <c r="L213" s="41">
        <v>25</v>
      </c>
      <c r="M213" s="42">
        <f t="shared" ref="M213" si="420">$D213*L213</f>
        <v>250</v>
      </c>
      <c r="N213" s="41">
        <v>15</v>
      </c>
      <c r="O213" s="42">
        <f t="shared" ref="O213" si="421">$D213*N213</f>
        <v>150</v>
      </c>
      <c r="P213" s="41">
        <v>15.8</v>
      </c>
      <c r="Q213" s="42">
        <f t="shared" ref="Q213" si="422">$D213*P213</f>
        <v>158</v>
      </c>
      <c r="R213" s="41">
        <v>0</v>
      </c>
      <c r="S213" s="42">
        <f t="shared" ref="S213" si="423">$D213*R213</f>
        <v>0</v>
      </c>
    </row>
    <row r="214" spans="1:19" x14ac:dyDescent="0.3">
      <c r="A214" s="23" t="s">
        <v>210</v>
      </c>
      <c r="B214" s="23"/>
      <c r="C214" s="23" t="s">
        <v>258</v>
      </c>
      <c r="D214" s="39">
        <v>5</v>
      </c>
      <c r="E214" s="40" t="s">
        <v>281</v>
      </c>
      <c r="F214" s="41">
        <v>65</v>
      </c>
      <c r="G214" s="42">
        <f t="shared" si="298"/>
        <v>325</v>
      </c>
      <c r="H214" s="41">
        <v>82.75</v>
      </c>
      <c r="I214" s="42">
        <f t="shared" si="298"/>
        <v>413.75</v>
      </c>
      <c r="J214" s="41">
        <v>52</v>
      </c>
      <c r="K214" s="42">
        <f t="shared" ref="K214" si="424">$D214*J214</f>
        <v>260</v>
      </c>
      <c r="L214" s="41">
        <v>88</v>
      </c>
      <c r="M214" s="42">
        <f t="shared" ref="M214" si="425">$D214*L214</f>
        <v>440</v>
      </c>
      <c r="N214" s="41">
        <v>55</v>
      </c>
      <c r="O214" s="42">
        <f t="shared" ref="O214" si="426">$D214*N214</f>
        <v>275</v>
      </c>
      <c r="P214" s="41">
        <v>79.5</v>
      </c>
      <c r="Q214" s="42">
        <f t="shared" ref="Q214" si="427">$D214*P214</f>
        <v>397.5</v>
      </c>
      <c r="R214" s="41">
        <v>0</v>
      </c>
      <c r="S214" s="42">
        <f t="shared" ref="S214" si="428">$D214*R214</f>
        <v>0</v>
      </c>
    </row>
    <row r="215" spans="1:19" x14ac:dyDescent="0.3">
      <c r="A215" s="23" t="s">
        <v>211</v>
      </c>
      <c r="B215" s="23"/>
      <c r="C215" s="23" t="s">
        <v>259</v>
      </c>
      <c r="D215" s="39">
        <v>5</v>
      </c>
      <c r="E215" s="40" t="s">
        <v>281</v>
      </c>
      <c r="F215" s="41">
        <v>80</v>
      </c>
      <c r="G215" s="42">
        <f t="shared" si="298"/>
        <v>400</v>
      </c>
      <c r="H215" s="41">
        <v>97.5</v>
      </c>
      <c r="I215" s="42">
        <f t="shared" si="298"/>
        <v>487.5</v>
      </c>
      <c r="J215" s="41">
        <v>63</v>
      </c>
      <c r="K215" s="42">
        <f t="shared" ref="K215" si="429">$D215*J215</f>
        <v>315</v>
      </c>
      <c r="L215" s="41">
        <v>125</v>
      </c>
      <c r="M215" s="42">
        <f t="shared" ref="M215" si="430">$D215*L215</f>
        <v>625</v>
      </c>
      <c r="N215" s="41">
        <v>65</v>
      </c>
      <c r="O215" s="42">
        <f t="shared" ref="O215" si="431">$D215*N215</f>
        <v>325</v>
      </c>
      <c r="P215" s="41">
        <v>105.7</v>
      </c>
      <c r="Q215" s="42">
        <f t="shared" ref="Q215" si="432">$D215*P215</f>
        <v>528.5</v>
      </c>
      <c r="R215" s="41">
        <v>0</v>
      </c>
      <c r="S215" s="42">
        <f t="shared" ref="S215" si="433">$D215*R215</f>
        <v>0</v>
      </c>
    </row>
    <row r="216" spans="1:19" x14ac:dyDescent="0.3">
      <c r="A216" s="23" t="s">
        <v>212</v>
      </c>
      <c r="B216" s="23" t="s">
        <v>220</v>
      </c>
      <c r="C216" s="23" t="s">
        <v>260</v>
      </c>
      <c r="D216" s="39">
        <v>1</v>
      </c>
      <c r="E216" s="40" t="s">
        <v>281</v>
      </c>
      <c r="F216" s="41">
        <v>170</v>
      </c>
      <c r="G216" s="68" t="s">
        <v>288</v>
      </c>
      <c r="H216" s="41">
        <v>290</v>
      </c>
      <c r="I216" s="68" t="s">
        <v>288</v>
      </c>
      <c r="J216" s="41">
        <v>215</v>
      </c>
      <c r="K216" s="68" t="s">
        <v>288</v>
      </c>
      <c r="L216" s="41">
        <v>239.95</v>
      </c>
      <c r="M216" s="68" t="s">
        <v>288</v>
      </c>
      <c r="N216" s="41">
        <v>280</v>
      </c>
      <c r="O216" s="68" t="s">
        <v>288</v>
      </c>
      <c r="P216" s="41">
        <v>399</v>
      </c>
      <c r="Q216" s="68" t="s">
        <v>288</v>
      </c>
      <c r="R216" s="41">
        <v>0</v>
      </c>
      <c r="S216" s="68" t="s">
        <v>288</v>
      </c>
    </row>
    <row r="217" spans="1:19" x14ac:dyDescent="0.3">
      <c r="A217" s="23" t="s">
        <v>213</v>
      </c>
      <c r="B217" s="23" t="s">
        <v>220</v>
      </c>
      <c r="C217" s="23" t="s">
        <v>261</v>
      </c>
      <c r="D217" s="39">
        <v>1</v>
      </c>
      <c r="E217" s="40" t="s">
        <v>281</v>
      </c>
      <c r="F217" s="41">
        <v>200</v>
      </c>
      <c r="G217" s="68" t="s">
        <v>288</v>
      </c>
      <c r="H217" s="41">
        <v>348</v>
      </c>
      <c r="I217" s="68" t="s">
        <v>288</v>
      </c>
      <c r="J217" s="41">
        <v>265</v>
      </c>
      <c r="K217" s="68" t="s">
        <v>288</v>
      </c>
      <c r="L217" s="41">
        <v>281.95</v>
      </c>
      <c r="M217" s="68" t="s">
        <v>288</v>
      </c>
      <c r="N217" s="41">
        <v>350</v>
      </c>
      <c r="O217" s="68" t="s">
        <v>288</v>
      </c>
      <c r="P217" s="41">
        <v>450.2</v>
      </c>
      <c r="Q217" s="68" t="s">
        <v>288</v>
      </c>
      <c r="R217" s="41">
        <v>0</v>
      </c>
      <c r="S217" s="68" t="s">
        <v>288</v>
      </c>
    </row>
    <row r="218" spans="1:19" x14ac:dyDescent="0.3">
      <c r="A218" s="57" t="s">
        <v>200</v>
      </c>
      <c r="B218" s="57"/>
      <c r="C218" s="57" t="s">
        <v>248</v>
      </c>
      <c r="D218" s="58"/>
      <c r="E218" s="59"/>
      <c r="F218" s="60"/>
      <c r="G218" s="61">
        <f>SUM(G205:G217)</f>
        <v>2868.5</v>
      </c>
      <c r="H218" s="60"/>
      <c r="I218" s="61">
        <f>SUM(I205:I217)</f>
        <v>2752.75</v>
      </c>
      <c r="J218" s="60"/>
      <c r="K218" s="61">
        <f>SUM(K205:K217)</f>
        <v>3210</v>
      </c>
      <c r="L218" s="60"/>
      <c r="M218" s="61">
        <f>SUM(M205:M217)</f>
        <v>3034.7</v>
      </c>
      <c r="N218" s="60"/>
      <c r="O218" s="61">
        <f>SUM(O205:O217)</f>
        <v>2411</v>
      </c>
      <c r="P218" s="60"/>
      <c r="Q218" s="61">
        <f>SUM(Q205:Q217)</f>
        <v>2655.2</v>
      </c>
      <c r="R218" s="60"/>
      <c r="S218" s="61">
        <f>SUM(S205:S217)</f>
        <v>0</v>
      </c>
    </row>
    <row r="219" spans="1:19" x14ac:dyDescent="0.3">
      <c r="A219" s="23"/>
      <c r="B219" s="23"/>
      <c r="C219" s="23"/>
      <c r="D219" s="39"/>
      <c r="E219" s="40"/>
      <c r="F219" s="41"/>
      <c r="G219" s="42"/>
      <c r="H219" s="41"/>
      <c r="I219" s="42"/>
      <c r="J219" s="41"/>
      <c r="K219" s="42"/>
      <c r="L219" s="41"/>
      <c r="M219" s="42"/>
      <c r="N219" s="41"/>
      <c r="O219" s="42"/>
      <c r="P219" s="41"/>
      <c r="Q219" s="42"/>
      <c r="R219" s="41"/>
      <c r="S219" s="42"/>
    </row>
    <row r="220" spans="1:19" x14ac:dyDescent="0.3">
      <c r="A220" s="23" t="s">
        <v>215</v>
      </c>
      <c r="B220" s="23"/>
      <c r="C220" s="23" t="s">
        <v>263</v>
      </c>
      <c r="D220" s="39">
        <v>128</v>
      </c>
      <c r="E220" s="40" t="s">
        <v>279</v>
      </c>
      <c r="F220" s="41">
        <v>75</v>
      </c>
      <c r="G220" s="42">
        <f t="shared" ref="G220:I224" si="434">$D220*F220</f>
        <v>9600</v>
      </c>
      <c r="H220" s="41">
        <v>78.900000000000006</v>
      </c>
      <c r="I220" s="42">
        <f t="shared" si="434"/>
        <v>10099.200000000001</v>
      </c>
      <c r="J220" s="41">
        <v>100</v>
      </c>
      <c r="K220" s="42">
        <f t="shared" ref="K220" si="435">$D220*J220</f>
        <v>12800</v>
      </c>
      <c r="L220" s="41">
        <v>102.25</v>
      </c>
      <c r="M220" s="42">
        <f t="shared" ref="M220" si="436">$D220*L220</f>
        <v>13088</v>
      </c>
      <c r="N220" s="41">
        <v>131.5</v>
      </c>
      <c r="O220" s="42">
        <f t="shared" ref="O220" si="437">$D220*N220</f>
        <v>16832</v>
      </c>
      <c r="P220" s="41">
        <v>93.6</v>
      </c>
      <c r="Q220" s="42">
        <f t="shared" ref="Q220" si="438">$D220*P220</f>
        <v>11980.8</v>
      </c>
      <c r="R220" s="41">
        <v>0</v>
      </c>
      <c r="S220" s="42">
        <f t="shared" ref="S220" si="439">$D220*R220</f>
        <v>0</v>
      </c>
    </row>
    <row r="221" spans="1:19" x14ac:dyDescent="0.3">
      <c r="A221" s="23" t="s">
        <v>216</v>
      </c>
      <c r="B221" s="23"/>
      <c r="C221" s="23" t="s">
        <v>264</v>
      </c>
      <c r="D221" s="39">
        <v>10</v>
      </c>
      <c r="E221" s="40" t="s">
        <v>280</v>
      </c>
      <c r="F221" s="41">
        <v>22</v>
      </c>
      <c r="G221" s="42">
        <f t="shared" si="434"/>
        <v>220</v>
      </c>
      <c r="H221" s="41">
        <v>14</v>
      </c>
      <c r="I221" s="42">
        <f t="shared" si="434"/>
        <v>140</v>
      </c>
      <c r="J221" s="41">
        <v>9</v>
      </c>
      <c r="K221" s="42">
        <f t="shared" ref="K221" si="440">$D221*J221</f>
        <v>90</v>
      </c>
      <c r="L221" s="41">
        <v>10.9</v>
      </c>
      <c r="M221" s="42">
        <f t="shared" ref="M221" si="441">$D221*L221</f>
        <v>109</v>
      </c>
      <c r="N221" s="41">
        <v>26.2</v>
      </c>
      <c r="O221" s="42">
        <f t="shared" ref="O221" si="442">$D221*N221</f>
        <v>262</v>
      </c>
      <c r="P221" s="41">
        <v>22</v>
      </c>
      <c r="Q221" s="42">
        <f t="shared" ref="Q221" si="443">$D221*P221</f>
        <v>220</v>
      </c>
      <c r="R221" s="41">
        <v>0</v>
      </c>
      <c r="S221" s="42">
        <f t="shared" ref="S221" si="444">$D221*R221</f>
        <v>0</v>
      </c>
    </row>
    <row r="222" spans="1:19" x14ac:dyDescent="0.3">
      <c r="A222" s="23" t="s">
        <v>217</v>
      </c>
      <c r="B222" s="23"/>
      <c r="C222" s="23" t="s">
        <v>265</v>
      </c>
      <c r="D222" s="39">
        <v>87</v>
      </c>
      <c r="E222" s="40" t="s">
        <v>280</v>
      </c>
      <c r="F222" s="41">
        <v>28</v>
      </c>
      <c r="G222" s="42">
        <f t="shared" si="434"/>
        <v>2436</v>
      </c>
      <c r="H222" s="41">
        <v>33.75</v>
      </c>
      <c r="I222" s="42">
        <f t="shared" si="434"/>
        <v>2936.25</v>
      </c>
      <c r="J222" s="41">
        <v>40</v>
      </c>
      <c r="K222" s="42">
        <f t="shared" ref="K222" si="445">$D222*J222</f>
        <v>3480</v>
      </c>
      <c r="L222" s="41">
        <v>36</v>
      </c>
      <c r="M222" s="42">
        <f t="shared" ref="M222" si="446">$D222*L222</f>
        <v>3132</v>
      </c>
      <c r="N222" s="41">
        <v>35</v>
      </c>
      <c r="O222" s="42">
        <f t="shared" ref="O222" si="447">$D222*N222</f>
        <v>3045</v>
      </c>
      <c r="P222" s="41">
        <v>22</v>
      </c>
      <c r="Q222" s="42">
        <f t="shared" ref="Q222" si="448">$D222*P222</f>
        <v>1914</v>
      </c>
      <c r="R222" s="41">
        <v>0</v>
      </c>
      <c r="S222" s="42">
        <f t="shared" ref="S222" si="449">$D222*R222</f>
        <v>0</v>
      </c>
    </row>
    <row r="223" spans="1:19" x14ac:dyDescent="0.3">
      <c r="A223" s="23" t="s">
        <v>218</v>
      </c>
      <c r="B223" s="23"/>
      <c r="C223" s="23" t="s">
        <v>266</v>
      </c>
      <c r="D223" s="39">
        <v>5</v>
      </c>
      <c r="E223" s="40" t="s">
        <v>281</v>
      </c>
      <c r="F223" s="41">
        <v>15</v>
      </c>
      <c r="G223" s="42">
        <f t="shared" si="434"/>
        <v>75</v>
      </c>
      <c r="H223" s="41">
        <v>29</v>
      </c>
      <c r="I223" s="42">
        <f t="shared" si="434"/>
        <v>145</v>
      </c>
      <c r="J223" s="41">
        <v>20</v>
      </c>
      <c r="K223" s="42">
        <f t="shared" ref="K223" si="450">$D223*J223</f>
        <v>100</v>
      </c>
      <c r="L223" s="41">
        <v>25</v>
      </c>
      <c r="M223" s="42">
        <f t="shared" ref="M223" si="451">$D223*L223</f>
        <v>125</v>
      </c>
      <c r="N223" s="41">
        <v>26</v>
      </c>
      <c r="O223" s="42">
        <f t="shared" ref="O223" si="452">$D223*N223</f>
        <v>130</v>
      </c>
      <c r="P223" s="41">
        <v>92.6</v>
      </c>
      <c r="Q223" s="42">
        <f t="shared" ref="Q223" si="453">$D223*P223</f>
        <v>463</v>
      </c>
      <c r="R223" s="41">
        <v>0</v>
      </c>
      <c r="S223" s="42">
        <f t="shared" ref="S223" si="454">$D223*R223</f>
        <v>0</v>
      </c>
    </row>
    <row r="224" spans="1:19" x14ac:dyDescent="0.3">
      <c r="A224" s="23" t="s">
        <v>219</v>
      </c>
      <c r="B224" s="23"/>
      <c r="C224" s="23" t="s">
        <v>267</v>
      </c>
      <c r="D224" s="39">
        <v>5</v>
      </c>
      <c r="E224" s="40" t="s">
        <v>281</v>
      </c>
      <c r="F224" s="41">
        <v>30</v>
      </c>
      <c r="G224" s="42">
        <f t="shared" si="434"/>
        <v>150</v>
      </c>
      <c r="H224" s="41">
        <v>29</v>
      </c>
      <c r="I224" s="42">
        <f t="shared" si="434"/>
        <v>145</v>
      </c>
      <c r="J224" s="41">
        <v>20</v>
      </c>
      <c r="K224" s="42">
        <f t="shared" ref="K224" si="455">$D224*J224</f>
        <v>100</v>
      </c>
      <c r="L224" s="41">
        <v>25</v>
      </c>
      <c r="M224" s="42">
        <f t="shared" ref="M224" si="456">$D224*L224</f>
        <v>125</v>
      </c>
      <c r="N224" s="41">
        <v>35</v>
      </c>
      <c r="O224" s="42">
        <f t="shared" ref="O224" si="457">$D224*N224</f>
        <v>175</v>
      </c>
      <c r="P224" s="41">
        <v>77.099999999999994</v>
      </c>
      <c r="Q224" s="42">
        <f t="shared" ref="Q224" si="458">$D224*P224</f>
        <v>385.5</v>
      </c>
      <c r="R224" s="41">
        <v>0</v>
      </c>
      <c r="S224" s="42">
        <f t="shared" ref="S224" si="459">$D224*R224</f>
        <v>0</v>
      </c>
    </row>
    <row r="225" spans="1:19" x14ac:dyDescent="0.3">
      <c r="A225" s="57" t="s">
        <v>214</v>
      </c>
      <c r="B225" s="57"/>
      <c r="C225" s="57" t="s">
        <v>262</v>
      </c>
      <c r="D225" s="58"/>
      <c r="E225" s="59"/>
      <c r="F225" s="60"/>
      <c r="G225" s="61">
        <f>SUM(G220:G224)</f>
        <v>12481</v>
      </c>
      <c r="H225" s="60"/>
      <c r="I225" s="61">
        <f>SUM(I220:I224)</f>
        <v>13465.45</v>
      </c>
      <c r="J225" s="60"/>
      <c r="K225" s="61">
        <f>SUM(K220:K224)</f>
        <v>16570</v>
      </c>
      <c r="L225" s="60"/>
      <c r="M225" s="61">
        <f>SUM(M220:M224)</f>
        <v>16579</v>
      </c>
      <c r="N225" s="60"/>
      <c r="O225" s="61">
        <f>SUM(O220:O224)</f>
        <v>20444</v>
      </c>
      <c r="P225" s="60"/>
      <c r="Q225" s="61">
        <f>SUM(Q220:Q224)</f>
        <v>14963.3</v>
      </c>
      <c r="R225" s="60"/>
      <c r="S225" s="61">
        <f>SUM(S220:S224)</f>
        <v>0</v>
      </c>
    </row>
    <row r="226" spans="1:19" x14ac:dyDescent="0.3">
      <c r="A226" s="23"/>
      <c r="B226" s="23"/>
      <c r="C226" s="23"/>
      <c r="D226" s="39"/>
      <c r="E226" s="40"/>
      <c r="F226" s="41"/>
      <c r="G226" s="42"/>
      <c r="H226" s="41"/>
      <c r="I226" s="42"/>
      <c r="J226" s="41"/>
      <c r="K226" s="42"/>
      <c r="L226" s="41"/>
      <c r="M226" s="42"/>
      <c r="N226" s="41"/>
      <c r="O226" s="42"/>
      <c r="P226" s="41"/>
      <c r="Q226" s="42"/>
      <c r="R226" s="41"/>
      <c r="S226" s="42"/>
    </row>
    <row r="227" spans="1:19" s="67" customFormat="1" x14ac:dyDescent="0.3">
      <c r="A227" s="43"/>
      <c r="B227" s="43"/>
      <c r="C227" s="48" t="s">
        <v>287</v>
      </c>
      <c r="D227" s="44"/>
      <c r="E227" s="45"/>
      <c r="F227" s="46"/>
      <c r="G227" s="47"/>
      <c r="H227" s="46"/>
      <c r="I227" s="47"/>
      <c r="J227" s="46"/>
      <c r="K227" s="47"/>
      <c r="L227" s="46"/>
      <c r="M227" s="47"/>
      <c r="N227" s="46"/>
      <c r="O227" s="47"/>
      <c r="P227" s="46"/>
      <c r="Q227" s="47"/>
      <c r="R227" s="46"/>
      <c r="S227" s="47"/>
    </row>
    <row r="228" spans="1:19" s="67" customFormat="1" x14ac:dyDescent="0.3">
      <c r="A228" s="43" t="str">
        <f>A37</f>
        <v>01.01.01.</v>
      </c>
      <c r="B228" s="43"/>
      <c r="C228" s="43" t="str">
        <f>C37</f>
        <v>Trockenbauarbeiten - Wände</v>
      </c>
      <c r="D228" s="44"/>
      <c r="E228" s="45"/>
      <c r="F228" s="46"/>
      <c r="G228" s="47">
        <f>G37</f>
        <v>88750</v>
      </c>
      <c r="H228" s="46"/>
      <c r="I228" s="47">
        <f>I37</f>
        <v>109240.2</v>
      </c>
      <c r="J228" s="46"/>
      <c r="K228" s="47">
        <f>K37</f>
        <v>107820</v>
      </c>
      <c r="L228" s="46"/>
      <c r="M228" s="47">
        <f>M37</f>
        <v>111418.5</v>
      </c>
      <c r="N228" s="46"/>
      <c r="O228" s="47">
        <f>O37</f>
        <v>120963.95</v>
      </c>
      <c r="P228" s="46"/>
      <c r="Q228" s="47">
        <f>Q37</f>
        <v>114547.19999999998</v>
      </c>
      <c r="R228" s="46"/>
      <c r="S228" s="47">
        <f>S37</f>
        <v>0</v>
      </c>
    </row>
    <row r="229" spans="1:19" s="67" customFormat="1" x14ac:dyDescent="0.3">
      <c r="A229" s="43" t="str">
        <f>A52</f>
        <v>01.02.01.</v>
      </c>
      <c r="B229" s="43"/>
      <c r="C229" s="43" t="str">
        <f>C52</f>
        <v>Trockenbauarbeiten - GK-Decke</v>
      </c>
      <c r="D229" s="44"/>
      <c r="E229" s="45"/>
      <c r="F229" s="46"/>
      <c r="G229" s="47">
        <f>G52</f>
        <v>1827</v>
      </c>
      <c r="H229" s="46"/>
      <c r="I229" s="47">
        <f>I52</f>
        <v>2181.25</v>
      </c>
      <c r="J229" s="46"/>
      <c r="K229" s="47">
        <f>K52</f>
        <v>1595</v>
      </c>
      <c r="L229" s="46"/>
      <c r="M229" s="47">
        <f>M52</f>
        <v>2154.4</v>
      </c>
      <c r="N229" s="46"/>
      <c r="O229" s="47">
        <f>O52</f>
        <v>1556</v>
      </c>
      <c r="P229" s="46"/>
      <c r="Q229" s="47">
        <f>Q52</f>
        <v>1719.4</v>
      </c>
      <c r="R229" s="46"/>
      <c r="S229" s="47">
        <f>S52</f>
        <v>0</v>
      </c>
    </row>
    <row r="230" spans="1:19" s="67" customFormat="1" x14ac:dyDescent="0.3">
      <c r="A230" s="43" t="str">
        <f>A59</f>
        <v>01.02.02.</v>
      </c>
      <c r="B230" s="43"/>
      <c r="C230" s="43" t="str">
        <f>C59</f>
        <v>Trockenbauarbeiten - Akustikdecke</v>
      </c>
      <c r="D230" s="44"/>
      <c r="E230" s="45"/>
      <c r="F230" s="46"/>
      <c r="G230" s="47">
        <f>G59</f>
        <v>5691</v>
      </c>
      <c r="H230" s="46"/>
      <c r="I230" s="47">
        <f>I59</f>
        <v>6086.2000000000007</v>
      </c>
      <c r="J230" s="46"/>
      <c r="K230" s="47">
        <f>K59</f>
        <v>7330</v>
      </c>
      <c r="L230" s="46"/>
      <c r="M230" s="47">
        <f>M59</f>
        <v>7441.5</v>
      </c>
      <c r="N230" s="46"/>
      <c r="O230" s="47">
        <f>O59</f>
        <v>9314</v>
      </c>
      <c r="P230" s="46"/>
      <c r="Q230" s="47">
        <f>Q59</f>
        <v>6261.4000000000005</v>
      </c>
      <c r="R230" s="46"/>
      <c r="S230" s="47">
        <f>S59</f>
        <v>0</v>
      </c>
    </row>
    <row r="231" spans="1:19" s="67" customFormat="1" x14ac:dyDescent="0.3">
      <c r="A231" s="43" t="str">
        <f>A65</f>
        <v>01.02.03.</v>
      </c>
      <c r="B231" s="43"/>
      <c r="C231" s="43" t="str">
        <f>C65</f>
        <v>Trockenbauarbeiten - GK-Deckenschürze</v>
      </c>
      <c r="D231" s="44"/>
      <c r="E231" s="45"/>
      <c r="F231" s="46"/>
      <c r="G231" s="47">
        <f>G65</f>
        <v>604.04999999999995</v>
      </c>
      <c r="H231" s="46"/>
      <c r="I231" s="47">
        <f>I65</f>
        <v>905.75</v>
      </c>
      <c r="J231" s="46"/>
      <c r="K231" s="47">
        <f>K65</f>
        <v>1393.9</v>
      </c>
      <c r="L231" s="46"/>
      <c r="M231" s="47">
        <f>M65</f>
        <v>732.3</v>
      </c>
      <c r="N231" s="46"/>
      <c r="O231" s="47">
        <f>O65</f>
        <v>851.77</v>
      </c>
      <c r="P231" s="46"/>
      <c r="Q231" s="47">
        <f>Q65</f>
        <v>1354.47</v>
      </c>
      <c r="R231" s="46"/>
      <c r="S231" s="47">
        <f>S65</f>
        <v>0</v>
      </c>
    </row>
    <row r="232" spans="1:19" s="67" customFormat="1" x14ac:dyDescent="0.3">
      <c r="A232" s="62" t="str">
        <f>A11</f>
        <v>01.</v>
      </c>
      <c r="B232" s="62"/>
      <c r="C232" s="62" t="str">
        <f>C11</f>
        <v>Mietbereich Lorenz 2. + 3. OG</v>
      </c>
      <c r="D232" s="44"/>
      <c r="E232" s="45"/>
      <c r="F232" s="46"/>
      <c r="G232" s="47"/>
      <c r="H232" s="46"/>
      <c r="I232" s="47"/>
      <c r="J232" s="46"/>
      <c r="K232" s="47"/>
      <c r="L232" s="46"/>
      <c r="M232" s="47"/>
      <c r="N232" s="46"/>
      <c r="O232" s="47"/>
      <c r="P232" s="46"/>
      <c r="Q232" s="47"/>
      <c r="R232" s="46"/>
      <c r="S232" s="47"/>
    </row>
    <row r="233" spans="1:19" s="67" customFormat="1" x14ac:dyDescent="0.3">
      <c r="A233" s="43" t="str">
        <f>A95</f>
        <v>02.01.01.</v>
      </c>
      <c r="B233" s="43"/>
      <c r="C233" s="43" t="str">
        <f>C95</f>
        <v>Trockenbauarbeiten - Wände</v>
      </c>
      <c r="D233" s="44"/>
      <c r="E233" s="45"/>
      <c r="F233" s="46"/>
      <c r="G233" s="47">
        <f>G95</f>
        <v>100008</v>
      </c>
      <c r="H233" s="46"/>
      <c r="I233" s="47">
        <f>I95</f>
        <v>120814.95</v>
      </c>
      <c r="J233" s="46"/>
      <c r="K233" s="47">
        <f>K95</f>
        <v>117870.5</v>
      </c>
      <c r="L233" s="46"/>
      <c r="M233" s="47">
        <f>M95</f>
        <v>121020.20000000003</v>
      </c>
      <c r="N233" s="46"/>
      <c r="O233" s="47">
        <f>O95</f>
        <v>115769.30000000002</v>
      </c>
      <c r="P233" s="46"/>
      <c r="Q233" s="47">
        <f>Q95</f>
        <v>133361.59999999998</v>
      </c>
      <c r="R233" s="46"/>
      <c r="S233" s="47">
        <f>S95</f>
        <v>0</v>
      </c>
    </row>
    <row r="234" spans="1:19" s="67" customFormat="1" x14ac:dyDescent="0.3">
      <c r="A234" s="43" t="str">
        <f>A110</f>
        <v>02.02.01.</v>
      </c>
      <c r="B234" s="43"/>
      <c r="C234" s="43" t="str">
        <f>C110</f>
        <v>Trockenbauarbeiten - GK-Decke</v>
      </c>
      <c r="D234" s="44"/>
      <c r="E234" s="45"/>
      <c r="F234" s="46"/>
      <c r="G234" s="47">
        <f>G110</f>
        <v>1827</v>
      </c>
      <c r="H234" s="46"/>
      <c r="I234" s="47">
        <f>I110</f>
        <v>2181.25</v>
      </c>
      <c r="J234" s="46"/>
      <c r="K234" s="47">
        <f>K110</f>
        <v>1595</v>
      </c>
      <c r="L234" s="46"/>
      <c r="M234" s="47">
        <f>M110</f>
        <v>2154.4</v>
      </c>
      <c r="N234" s="46"/>
      <c r="O234" s="47">
        <f>O110</f>
        <v>1556</v>
      </c>
      <c r="P234" s="46"/>
      <c r="Q234" s="47">
        <f>Q110</f>
        <v>1847.9</v>
      </c>
      <c r="R234" s="46"/>
      <c r="S234" s="47">
        <f>S110</f>
        <v>0</v>
      </c>
    </row>
    <row r="235" spans="1:19" s="67" customFormat="1" x14ac:dyDescent="0.3">
      <c r="A235" s="43" t="str">
        <f>A117</f>
        <v>02.02.02.</v>
      </c>
      <c r="B235" s="43"/>
      <c r="C235" s="43" t="str">
        <f>C117</f>
        <v>Trockenbauarbeiten - Akustikdecke</v>
      </c>
      <c r="D235" s="44"/>
      <c r="E235" s="45"/>
      <c r="F235" s="46"/>
      <c r="G235" s="47">
        <f>G117</f>
        <v>5691</v>
      </c>
      <c r="H235" s="46"/>
      <c r="I235" s="47">
        <f>I117</f>
        <v>6086.2000000000007</v>
      </c>
      <c r="J235" s="46"/>
      <c r="K235" s="47">
        <f>K117</f>
        <v>7330</v>
      </c>
      <c r="L235" s="46"/>
      <c r="M235" s="47">
        <f>M117</f>
        <v>7441.5</v>
      </c>
      <c r="N235" s="46"/>
      <c r="O235" s="47">
        <f>O117</f>
        <v>9314</v>
      </c>
      <c r="P235" s="46"/>
      <c r="Q235" s="47">
        <f>Q117</f>
        <v>6733.2</v>
      </c>
      <c r="R235" s="46"/>
      <c r="S235" s="47">
        <f>S117</f>
        <v>0</v>
      </c>
    </row>
    <row r="236" spans="1:19" s="67" customFormat="1" x14ac:dyDescent="0.3">
      <c r="A236" s="43" t="str">
        <f>A123</f>
        <v>02.02.03.</v>
      </c>
      <c r="B236" s="43"/>
      <c r="C236" s="43" t="str">
        <f>C123</f>
        <v>Trockenbauarbeiten - GK-Deckenschürze</v>
      </c>
      <c r="D236" s="44"/>
      <c r="E236" s="45"/>
      <c r="F236" s="46"/>
      <c r="G236" s="47">
        <f>G123</f>
        <v>604.04999999999995</v>
      </c>
      <c r="H236" s="46"/>
      <c r="I236" s="47">
        <f>I123</f>
        <v>905.75</v>
      </c>
      <c r="J236" s="46"/>
      <c r="K236" s="47">
        <f>K123</f>
        <v>1393.9</v>
      </c>
      <c r="L236" s="46"/>
      <c r="M236" s="47">
        <f>M123</f>
        <v>732.3</v>
      </c>
      <c r="N236" s="46"/>
      <c r="O236" s="47">
        <f>O123</f>
        <v>851.77</v>
      </c>
      <c r="P236" s="46"/>
      <c r="Q236" s="47">
        <f>Q123</f>
        <v>1455.87</v>
      </c>
      <c r="R236" s="46"/>
      <c r="S236" s="47">
        <f>S123</f>
        <v>0</v>
      </c>
    </row>
    <row r="237" spans="1:19" s="67" customFormat="1" x14ac:dyDescent="0.3">
      <c r="A237" s="62" t="str">
        <f>A67</f>
        <v>02.</v>
      </c>
      <c r="B237" s="62"/>
      <c r="C237" s="62" t="str">
        <f>C67</f>
        <v>Mietbereich DWD EG + 4.OG</v>
      </c>
      <c r="D237" s="44"/>
      <c r="E237" s="45"/>
      <c r="F237" s="46"/>
      <c r="G237" s="47"/>
      <c r="H237" s="46"/>
      <c r="I237" s="47"/>
      <c r="J237" s="46"/>
      <c r="K237" s="47"/>
      <c r="L237" s="46"/>
      <c r="M237" s="47"/>
      <c r="N237" s="46"/>
      <c r="O237" s="47"/>
      <c r="P237" s="46"/>
      <c r="Q237" s="47"/>
      <c r="R237" s="46"/>
      <c r="S237" s="47"/>
    </row>
    <row r="238" spans="1:19" s="67" customFormat="1" x14ac:dyDescent="0.3">
      <c r="A238" s="43" t="str">
        <f>A150</f>
        <v>03.01.01.</v>
      </c>
      <c r="B238" s="43"/>
      <c r="C238" s="43" t="str">
        <f>C150</f>
        <v>Trockenbauarbeiten - Wände</v>
      </c>
      <c r="D238" s="44"/>
      <c r="E238" s="45"/>
      <c r="F238" s="46"/>
      <c r="G238" s="47">
        <f>G150</f>
        <v>14579</v>
      </c>
      <c r="H238" s="46"/>
      <c r="I238" s="47">
        <f>I150</f>
        <v>17775.900000000001</v>
      </c>
      <c r="J238" s="46"/>
      <c r="K238" s="47">
        <f>K150</f>
        <v>17838</v>
      </c>
      <c r="L238" s="46"/>
      <c r="M238" s="47">
        <f>M150</f>
        <v>18188.05</v>
      </c>
      <c r="N238" s="46"/>
      <c r="O238" s="47">
        <f>O150</f>
        <v>20251.5</v>
      </c>
      <c r="P238" s="46"/>
      <c r="Q238" s="47">
        <f>Q150</f>
        <v>19273.999999999996</v>
      </c>
      <c r="R238" s="46"/>
      <c r="S238" s="47">
        <f>S150</f>
        <v>0</v>
      </c>
    </row>
    <row r="239" spans="1:19" s="67" customFormat="1" x14ac:dyDescent="0.3">
      <c r="A239" s="43" t="str">
        <f>A165</f>
        <v>03.02.01.</v>
      </c>
      <c r="B239" s="43"/>
      <c r="C239" s="43" t="str">
        <f>C165</f>
        <v>Trockenbauarbeiten - GK-Decke</v>
      </c>
      <c r="D239" s="44"/>
      <c r="E239" s="45"/>
      <c r="F239" s="46"/>
      <c r="G239" s="47">
        <f>G165</f>
        <v>1517</v>
      </c>
      <c r="H239" s="46"/>
      <c r="I239" s="47">
        <f>I165</f>
        <v>1853.75</v>
      </c>
      <c r="J239" s="46"/>
      <c r="K239" s="47">
        <f>K165</f>
        <v>1220</v>
      </c>
      <c r="L239" s="46"/>
      <c r="M239" s="47">
        <f>M165</f>
        <v>1904.9</v>
      </c>
      <c r="N239" s="46"/>
      <c r="O239" s="47">
        <f>O165</f>
        <v>1316</v>
      </c>
      <c r="P239" s="46"/>
      <c r="Q239" s="47">
        <f>Q165</f>
        <v>1577.4</v>
      </c>
      <c r="R239" s="46"/>
      <c r="S239" s="47">
        <f>S165</f>
        <v>0</v>
      </c>
    </row>
    <row r="240" spans="1:19" s="67" customFormat="1" x14ac:dyDescent="0.3">
      <c r="A240" s="43" t="str">
        <f>A172</f>
        <v>03.02.02.</v>
      </c>
      <c r="B240" s="43"/>
      <c r="C240" s="43" t="str">
        <f>C172</f>
        <v>Trockenbauarbeiten - Akustikdecke</v>
      </c>
      <c r="D240" s="44"/>
      <c r="E240" s="45"/>
      <c r="F240" s="46"/>
      <c r="G240" s="47">
        <f>G172</f>
        <v>5691</v>
      </c>
      <c r="H240" s="46"/>
      <c r="I240" s="47">
        <f>I172</f>
        <v>6086.2000000000007</v>
      </c>
      <c r="J240" s="46"/>
      <c r="K240" s="47">
        <f>K172</f>
        <v>7330</v>
      </c>
      <c r="L240" s="46"/>
      <c r="M240" s="47">
        <f>M172</f>
        <v>7441.5</v>
      </c>
      <c r="N240" s="46"/>
      <c r="O240" s="47">
        <f>O172</f>
        <v>9314</v>
      </c>
      <c r="P240" s="46"/>
      <c r="Q240" s="47">
        <f>Q172</f>
        <v>6261.4000000000005</v>
      </c>
      <c r="R240" s="46"/>
      <c r="S240" s="47">
        <f>S172</f>
        <v>0</v>
      </c>
    </row>
    <row r="241" spans="1:19" s="67" customFormat="1" x14ac:dyDescent="0.3">
      <c r="A241" s="43" t="str">
        <f>A178</f>
        <v>03.02.03.</v>
      </c>
      <c r="B241" s="43"/>
      <c r="C241" s="43" t="str">
        <f>C178</f>
        <v>Trockenbauarbeiten - GK-Deckenschürze</v>
      </c>
      <c r="D241" s="44"/>
      <c r="E241" s="45"/>
      <c r="F241" s="46"/>
      <c r="G241" s="47">
        <f>G178</f>
        <v>604.04999999999995</v>
      </c>
      <c r="H241" s="46"/>
      <c r="I241" s="47">
        <f>I178</f>
        <v>457.75</v>
      </c>
      <c r="J241" s="46"/>
      <c r="K241" s="47">
        <f>K178</f>
        <v>1393.9</v>
      </c>
      <c r="L241" s="46"/>
      <c r="M241" s="47">
        <f>M178</f>
        <v>250.70000000000002</v>
      </c>
      <c r="N241" s="46"/>
      <c r="O241" s="47">
        <f>O178</f>
        <v>851.77</v>
      </c>
      <c r="P241" s="46"/>
      <c r="Q241" s="47">
        <f>Q178</f>
        <v>1354.47</v>
      </c>
      <c r="R241" s="46"/>
      <c r="S241" s="47">
        <f>S178</f>
        <v>0</v>
      </c>
    </row>
    <row r="242" spans="1:19" s="67" customFormat="1" x14ac:dyDescent="0.3">
      <c r="A242" s="62" t="str">
        <f>A125</f>
        <v>03.</v>
      </c>
      <c r="B242" s="62"/>
      <c r="C242" s="62" t="str">
        <f>C125</f>
        <v>Mietbereich Kone 1.OG</v>
      </c>
      <c r="D242" s="44"/>
      <c r="E242" s="45"/>
      <c r="F242" s="46"/>
      <c r="G242" s="47"/>
      <c r="H242" s="46"/>
      <c r="I242" s="47"/>
      <c r="J242" s="46"/>
      <c r="K242" s="47"/>
      <c r="L242" s="46"/>
      <c r="M242" s="47"/>
      <c r="N242" s="46"/>
      <c r="O242" s="47"/>
      <c r="P242" s="46"/>
      <c r="Q242" s="47"/>
      <c r="R242" s="46"/>
      <c r="S242" s="47"/>
    </row>
    <row r="243" spans="1:19" s="67" customFormat="1" x14ac:dyDescent="0.3">
      <c r="A243" s="43" t="str">
        <f>A203</f>
        <v>04.01.</v>
      </c>
      <c r="B243" s="43"/>
      <c r="C243" s="43" t="str">
        <f>C203</f>
        <v>Trockenbauarbeiten - Wände</v>
      </c>
      <c r="D243" s="44"/>
      <c r="E243" s="45"/>
      <c r="F243" s="46"/>
      <c r="G243" s="47">
        <f>G203</f>
        <v>13208</v>
      </c>
      <c r="H243" s="46"/>
      <c r="I243" s="47">
        <f>I203</f>
        <v>15530</v>
      </c>
      <c r="J243" s="46"/>
      <c r="K243" s="47">
        <f>K203</f>
        <v>16180</v>
      </c>
      <c r="L243" s="46"/>
      <c r="M243" s="47">
        <f>M203</f>
        <v>15482.1</v>
      </c>
      <c r="N243" s="46"/>
      <c r="O243" s="47">
        <f>O203</f>
        <v>2127.6999999999998</v>
      </c>
      <c r="P243" s="46"/>
      <c r="Q243" s="47">
        <f>Q203</f>
        <v>19620.5</v>
      </c>
      <c r="R243" s="46"/>
      <c r="S243" s="47">
        <f>S203</f>
        <v>0</v>
      </c>
    </row>
    <row r="244" spans="1:19" s="67" customFormat="1" x14ac:dyDescent="0.3">
      <c r="A244" s="43" t="str">
        <f>A218</f>
        <v>04.02.01.</v>
      </c>
      <c r="B244" s="43"/>
      <c r="C244" s="43" t="str">
        <f>C218</f>
        <v>Trockenbauarbeiten - GK-Decke</v>
      </c>
      <c r="D244" s="44"/>
      <c r="E244" s="45"/>
      <c r="F244" s="46"/>
      <c r="G244" s="47">
        <f>G218</f>
        <v>2868.5</v>
      </c>
      <c r="H244" s="46"/>
      <c r="I244" s="47">
        <f>I218</f>
        <v>2752.75</v>
      </c>
      <c r="J244" s="46"/>
      <c r="K244" s="47">
        <f>K218</f>
        <v>3210</v>
      </c>
      <c r="L244" s="46"/>
      <c r="M244" s="47">
        <f>M218</f>
        <v>3034.7</v>
      </c>
      <c r="N244" s="46"/>
      <c r="O244" s="47">
        <f>O218</f>
        <v>2411</v>
      </c>
      <c r="P244" s="46"/>
      <c r="Q244" s="47">
        <f>Q218</f>
        <v>2655.2</v>
      </c>
      <c r="R244" s="46"/>
      <c r="S244" s="47">
        <f>S218</f>
        <v>0</v>
      </c>
    </row>
    <row r="245" spans="1:19" s="67" customFormat="1" x14ac:dyDescent="0.3">
      <c r="A245" s="43" t="str">
        <f>A225</f>
        <v>04.02.02.</v>
      </c>
      <c r="B245" s="43"/>
      <c r="C245" s="43" t="str">
        <f>C225</f>
        <v>Trockenbauarbeiten - Akustikdecke</v>
      </c>
      <c r="D245" s="44"/>
      <c r="E245" s="45"/>
      <c r="F245" s="46"/>
      <c r="G245" s="47">
        <f>G225</f>
        <v>12481</v>
      </c>
      <c r="H245" s="46"/>
      <c r="I245" s="47">
        <f>I225</f>
        <v>13465.45</v>
      </c>
      <c r="J245" s="46"/>
      <c r="K245" s="47">
        <f>K225</f>
        <v>16570</v>
      </c>
      <c r="L245" s="46"/>
      <c r="M245" s="47">
        <f>M225</f>
        <v>16579</v>
      </c>
      <c r="N245" s="46"/>
      <c r="O245" s="47">
        <f>O225</f>
        <v>20444</v>
      </c>
      <c r="P245" s="46"/>
      <c r="Q245" s="47">
        <f>Q225</f>
        <v>14963.3</v>
      </c>
      <c r="R245" s="46"/>
      <c r="S245" s="47">
        <f>S225</f>
        <v>0</v>
      </c>
    </row>
    <row r="246" spans="1:19" s="67" customFormat="1" x14ac:dyDescent="0.3">
      <c r="A246" s="62" t="str">
        <f>A180</f>
        <v>04.</v>
      </c>
      <c r="B246" s="62"/>
      <c r="C246" s="62" t="str">
        <f>C180</f>
        <v>Musterbüro 5.OG</v>
      </c>
      <c r="D246" s="44"/>
      <c r="E246" s="45"/>
      <c r="F246" s="46"/>
      <c r="G246" s="47"/>
      <c r="H246" s="46"/>
      <c r="I246" s="47"/>
      <c r="J246" s="46"/>
      <c r="K246" s="47"/>
      <c r="L246" s="46"/>
      <c r="M246" s="47"/>
      <c r="N246" s="46"/>
      <c r="O246" s="47"/>
      <c r="P246" s="46"/>
      <c r="Q246" s="47"/>
      <c r="R246" s="46"/>
      <c r="S246" s="47"/>
    </row>
    <row r="247" spans="1:19" ht="15" thickBot="1" x14ac:dyDescent="0.35">
      <c r="A247" s="23"/>
      <c r="B247" s="23"/>
      <c r="C247" s="23"/>
      <c r="D247" s="39"/>
      <c r="E247" s="40"/>
      <c r="F247" s="41"/>
      <c r="G247" s="42"/>
      <c r="H247" s="41"/>
      <c r="I247" s="42"/>
      <c r="J247" s="41"/>
      <c r="K247" s="42"/>
      <c r="L247" s="41"/>
      <c r="M247" s="42"/>
      <c r="N247" s="41"/>
      <c r="O247" s="42"/>
      <c r="P247" s="41"/>
      <c r="Q247" s="42"/>
      <c r="R247" s="41"/>
      <c r="S247" s="42"/>
    </row>
    <row r="248" spans="1:19" x14ac:dyDescent="0.3">
      <c r="A248" s="69">
        <v>100</v>
      </c>
      <c r="B248" s="70"/>
      <c r="C248" s="70" t="s">
        <v>282</v>
      </c>
      <c r="D248" s="71"/>
      <c r="E248" s="72"/>
      <c r="F248" s="73"/>
      <c r="G248" s="74">
        <f>SUM(G228:G245)</f>
        <v>255950.64999999997</v>
      </c>
      <c r="H248" s="73"/>
      <c r="I248" s="74">
        <f>SUM(I228:I245)</f>
        <v>306323.35000000003</v>
      </c>
      <c r="J248" s="73"/>
      <c r="K248" s="74">
        <f>SUM(K228:K245)</f>
        <v>310070.2</v>
      </c>
      <c r="L248" s="73"/>
      <c r="M248" s="74">
        <f>SUM(M228:M245)</f>
        <v>315976.05000000005</v>
      </c>
      <c r="N248" s="73"/>
      <c r="O248" s="74">
        <f>SUM(O228:O245)</f>
        <v>316892.76000000007</v>
      </c>
      <c r="P248" s="73"/>
      <c r="Q248" s="74">
        <f>SUM(Q228:Q245)</f>
        <v>332987.30999999994</v>
      </c>
      <c r="R248" s="73"/>
      <c r="S248" s="75">
        <f>SUM(S228:S245)</f>
        <v>0</v>
      </c>
    </row>
    <row r="249" spans="1:19" x14ac:dyDescent="0.3">
      <c r="A249" s="76">
        <v>100</v>
      </c>
      <c r="B249" s="49"/>
      <c r="C249" s="49" t="s">
        <v>283</v>
      </c>
      <c r="D249" s="50"/>
      <c r="E249" s="51"/>
      <c r="F249" s="53">
        <v>0.02</v>
      </c>
      <c r="G249" s="52">
        <f>-F249*G248</f>
        <v>-5119.012999999999</v>
      </c>
      <c r="H249" s="53">
        <v>0</v>
      </c>
      <c r="I249" s="52">
        <f>-H249*I248</f>
        <v>0</v>
      </c>
      <c r="J249" s="53">
        <v>0</v>
      </c>
      <c r="K249" s="52">
        <f>-J249*K248</f>
        <v>0</v>
      </c>
      <c r="L249" s="53">
        <v>0</v>
      </c>
      <c r="M249" s="52">
        <f>-L249*M248</f>
        <v>0</v>
      </c>
      <c r="N249" s="53">
        <v>0</v>
      </c>
      <c r="O249" s="52">
        <f>-N249*O248</f>
        <v>0</v>
      </c>
      <c r="P249" s="53">
        <v>0</v>
      </c>
      <c r="Q249" s="52">
        <f>-P249*Q248</f>
        <v>0</v>
      </c>
      <c r="R249" s="53">
        <v>0</v>
      </c>
      <c r="S249" s="77">
        <f>-R249*S248</f>
        <v>0</v>
      </c>
    </row>
    <row r="250" spans="1:19" ht="15" thickBot="1" x14ac:dyDescent="0.35">
      <c r="A250" s="78">
        <v>100</v>
      </c>
      <c r="B250" s="79"/>
      <c r="C250" s="79" t="s">
        <v>284</v>
      </c>
      <c r="D250" s="80"/>
      <c r="E250" s="81"/>
      <c r="F250" s="82"/>
      <c r="G250" s="83">
        <f>SUM(G248:G249)</f>
        <v>250831.63699999996</v>
      </c>
      <c r="H250" s="82"/>
      <c r="I250" s="83">
        <f>SUM(I248:I249)</f>
        <v>306323.35000000003</v>
      </c>
      <c r="J250" s="82"/>
      <c r="K250" s="83">
        <f>SUM(K248:K249)</f>
        <v>310070.2</v>
      </c>
      <c r="L250" s="82"/>
      <c r="M250" s="83">
        <f>SUM(M248:M249)</f>
        <v>315976.05000000005</v>
      </c>
      <c r="N250" s="82"/>
      <c r="O250" s="83">
        <f>SUM(O248:O249)</f>
        <v>316892.76000000007</v>
      </c>
      <c r="P250" s="82"/>
      <c r="Q250" s="83">
        <f>SUM(Q248:Q249)</f>
        <v>332987.30999999994</v>
      </c>
      <c r="R250" s="82"/>
      <c r="S250" s="84">
        <f>SUM(S248:S249)</f>
        <v>0</v>
      </c>
    </row>
    <row r="252" spans="1:19" x14ac:dyDescent="0.3">
      <c r="C252" s="54" t="s">
        <v>285</v>
      </c>
    </row>
    <row r="253" spans="1:19" x14ac:dyDescent="0.3">
      <c r="C253" s="55"/>
    </row>
    <row r="254" spans="1:19" x14ac:dyDescent="0.3">
      <c r="C254" s="56" t="s">
        <v>286</v>
      </c>
    </row>
    <row r="255" spans="1:19" x14ac:dyDescent="0.3">
      <c r="C255" s="55"/>
    </row>
    <row r="256" spans="1:19" x14ac:dyDescent="0.3">
      <c r="C256" s="55"/>
    </row>
  </sheetData>
  <pageMargins left="0.70866141732283472" right="0.70866141732283472" top="0.78740157480314965" bottom="0.78740157480314965" header="0.31496062992125984" footer="0.31496062992125984"/>
  <pageSetup paperSize="9" orientation="landscape" r:id="rId1"/>
  <headerFooter>
    <oddHeader>&amp;F</oddHeader>
    <oddFooter>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Company>Adolf Lupp GmbH und Co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Neuber, Gerlinde</dc:creator>
  <cp:lastModifiedBy>Neuber, Gerlinde</cp:lastModifiedBy>
  <dcterms:created xsi:type="dcterms:W3CDTF">2024-11-12T11:29:10Z</dcterms:created>
  <dcterms:modified xsi:type="dcterms:W3CDTF">2024-11-12T12:31:33Z</dcterms:modified>
</cp:coreProperties>
</file>